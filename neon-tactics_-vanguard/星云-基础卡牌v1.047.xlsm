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鲨咕咕\Desktop\"/>
    </mc:Choice>
  </mc:AlternateContent>
  <xr:revisionPtr revIDLastSave="0" documentId="13_ncr:1_{5CDB6794-DB42-44EA-A836-2AFAFA64EF7A}" xr6:coauthVersionLast="36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更新日志" sheetId="9" r:id="rId2"/>
    <sheet name="对局日志" sheetId="16" r:id="rId3"/>
    <sheet name="Deck" sheetId="15" state="hidden" r:id="rId4"/>
    <sheet name="Data" sheetId="6" state="hidden" r:id="rId5"/>
    <sheet name="Dictionary" sheetId="3" state="hidden" r:id="rId6"/>
    <sheet name="SetDeck" sheetId="10" state="hidden" r:id="rId7"/>
    <sheet name="ID" sheetId="4" state="hidden" r:id="rId8"/>
    <sheet name="Effect" sheetId="2" state="hidden" r:id="rId9"/>
  </sheets>
  <functionGroups builtInGroupCount="19"/>
  <calcPr calcId="191029"/>
</workbook>
</file>

<file path=xl/calcChain.xml><?xml version="1.0" encoding="utf-8"?>
<calcChain xmlns="http://schemas.openxmlformats.org/spreadsheetml/2006/main">
  <c r="X21" i="1" l="1" a="1"/>
  <c r="X14" i="1" a="1"/>
  <c r="X14" i="1" s="1"/>
  <c r="X15" i="1" a="1"/>
  <c r="X15" i="1" s="1"/>
  <c r="X16" i="1" a="1"/>
  <c r="X16" i="1" s="1"/>
  <c r="X17" i="1" a="1"/>
  <c r="X17" i="1" s="1"/>
  <c r="X18" i="1" a="1"/>
  <c r="X18" i="1" s="1"/>
  <c r="X19" i="1" a="1"/>
  <c r="X19" i="1" s="1"/>
  <c r="X20" i="1" a="1"/>
  <c r="X20" i="1" s="1"/>
  <c r="X13" i="1" a="1"/>
  <c r="X13" i="1" s="1"/>
  <c r="X21" i="1" l="1"/>
  <c r="X3" i="1"/>
</calcChain>
</file>

<file path=xl/sharedStrings.xml><?xml version="1.0" encoding="utf-8"?>
<sst xmlns="http://schemas.openxmlformats.org/spreadsheetml/2006/main" count="7941" uniqueCount="2770">
  <si>
    <t xml:space="preserve"> </t>
  </si>
  <si>
    <t>已使用卡牌</t>
  </si>
  <si>
    <t>已破坏卡牌</t>
  </si>
  <si>
    <t>计数区</t>
  </si>
  <si>
    <t>牌组区</t>
  </si>
  <si>
    <t>生命值</t>
  </si>
  <si>
    <t>破坏的继承者·阿克西娅</t>
  </si>
  <si>
    <t>新约·白之章</t>
  </si>
  <si>
    <t>SecondMove</t>
  </si>
  <si>
    <t>卡牌名称</t>
  </si>
  <si>
    <t>数量</t>
  </si>
  <si>
    <t>计数名称</t>
  </si>
  <si>
    <t>费用</t>
  </si>
  <si>
    <t>职业</t>
  </si>
  <si>
    <t>超越者</t>
  </si>
  <si>
    <t>生命值的最大值</t>
  </si>
  <si>
    <t>马戏团人偶</t>
  </si>
  <si>
    <t>协作</t>
  </si>
  <si>
    <t>发条园艺师</t>
  </si>
  <si>
    <t>卡牌张数</t>
  </si>
  <si>
    <t>能量点</t>
  </si>
  <si>
    <t>管家操偶师</t>
  </si>
  <si>
    <t>改良型·悬丝傀儡</t>
  </si>
  <si>
    <t>信仰</t>
  </si>
  <si>
    <t>牌组名称</t>
  </si>
  <si>
    <t>虹</t>
  </si>
  <si>
    <t>金</t>
  </si>
  <si>
    <t>银</t>
  </si>
  <si>
    <t>铜</t>
  </si>
  <si>
    <t>能量点最大值</t>
  </si>
  <si>
    <t>悬丝傀儡</t>
  </si>
  <si>
    <t>失心艺术家</t>
  </si>
  <si>
    <t>极艺宗师·拉斐尔</t>
  </si>
  <si>
    <t>爱慕的学徒</t>
  </si>
  <si>
    <t>古遗物研究者</t>
  </si>
  <si>
    <t>灵感奔流</t>
  </si>
  <si>
    <t>EP</t>
  </si>
  <si>
    <t>创神·伊特娜蒂</t>
  </si>
  <si>
    <t>禁忌的创造者</t>
  </si>
  <si>
    <t>创造术</t>
  </si>
  <si>
    <t>热枕发明家</t>
  </si>
  <si>
    <t>SEP</t>
  </si>
  <si>
    <t>寻心的迷思</t>
  </si>
  <si>
    <t>极艺之作·薇丝忒</t>
  </si>
  <si>
    <t>创进演变</t>
  </si>
  <si>
    <t>神创塑炼</t>
  </si>
  <si>
    <t>神理再现者</t>
  </si>
  <si>
    <t>贵族资助人</t>
  </si>
  <si>
    <t>能量值+1</t>
  </si>
  <si>
    <t>卡包范围</t>
  </si>
  <si>
    <t>图片路径</t>
  </si>
  <si>
    <t>牌堆卡片张数</t>
  </si>
  <si>
    <t>墓场数</t>
  </si>
  <si>
    <t>纹章区</t>
  </si>
  <si>
    <t>常用信息</t>
  </si>
  <si>
    <t>回合数</t>
  </si>
  <si>
    <t>步骤记录区</t>
  </si>
  <si>
    <t>版本命名规则：星云-当前卡包名vA.ABB （A.A代表工具功能更新，BB代表卡牌录入以及bug修复）</t>
  </si>
  <si>
    <t>星云-基础卡牌v1.000</t>
  </si>
  <si>
    <t>更新时间：2025-10-19</t>
  </si>
  <si>
    <t>1、基于byd重写底层框架，现在支持全自动化对战</t>
  </si>
  <si>
    <t>2、支持窗体式录卡（见牌组区的录入卡牌，不用学习语法了）</t>
  </si>
  <si>
    <t>3、支持查询卡牌效果（优先以图片显示，如果没有则显示文本窗体）</t>
  </si>
  <si>
    <t>4、支持个人存档（路径：此电脑-文档-GameSaves）</t>
  </si>
  <si>
    <t>5、支持左右互搏（不用双开Excel了）</t>
  </si>
  <si>
    <t>星云-基础卡牌v1.001</t>
  </si>
  <si>
    <t>1、「查询卡牌」修复无法遍历多个子文件夹的Bug</t>
  </si>
  <si>
    <t>2、更新超越者基础卡</t>
  </si>
  <si>
    <t>星云-基础卡牌v1.002</t>
  </si>
  <si>
    <t>更新时间：2025-10-25</t>
  </si>
  <si>
    <t>1、修复了一些bug</t>
  </si>
  <si>
    <t>2、「选择目标」的选择区域中增加了历史区域</t>
  </si>
  <si>
    <t>3、增加了「在牌组中发动」能力，支持「瞬念召唤」</t>
  </si>
  <si>
    <t>4、增加了「限伤」与「受到的伤害+-」能力</t>
  </si>
  <si>
    <t>5、录入了官网目前的部分「苍穹六龙」卡牌</t>
  </si>
  <si>
    <t>6、录入了「神眷的棋盘」中立</t>
  </si>
  <si>
    <t>星云-基础卡牌v1.003</t>
  </si>
  <si>
    <t>更新时间：2025-10-27</t>
  </si>
  <si>
    <t>1、修复了从者、护符选择失败不继续入场的bug</t>
  </si>
  <si>
    <t>2、修复了当本卡牌离场时不生效的bug</t>
  </si>
  <si>
    <t>3、增加了2个备用存档路径，1个是系统缓存文件夹Temp，1个是Excel当前路径</t>
  </si>
  <si>
    <t>星云-基础卡牌v1.006</t>
  </si>
  <si>
    <t>更新时间：2025-10-29</t>
  </si>
  <si>
    <t>1、调换了攻击时和破隐的顺序</t>
  </si>
  <si>
    <t>2、「限定目标」的比较攻击力部分现在允许X</t>
  </si>
  <si>
    <t>4、修复了大量bug</t>
  </si>
  <si>
    <t>星云-基础卡牌v1.009</t>
  </si>
  <si>
    <t>1、扩大了回合开始录入步骤的框</t>
  </si>
  <si>
    <t>2、随机TK加入手牌现在可以正常传递</t>
  </si>
  <si>
    <t>3、开始对局的rd100现在正确随机</t>
  </si>
  <si>
    <t>4、录卡的窗体会在窗体名上提示目前的效果（但实则用处有限）</t>
  </si>
  <si>
    <t>5、修复了大量bug</t>
  </si>
  <si>
    <t>6、增加了「交换控制方」的功能，对战过程中如果出现bug，可以找对方要Excel，不过记得让他先遮住手牌，拿到后点交换控制方，即可达成读档功能</t>
  </si>
  <si>
    <t>星云-基础卡牌v1.010</t>
  </si>
  <si>
    <t>更新时间：2025-10-30</t>
  </si>
  <si>
    <t>2、修复了无法正确获取该卡牌的bug</t>
  </si>
  <si>
    <t>3、友情录入了图图「乙太狂飙」超越者</t>
  </si>
  <si>
    <t>4、修复了一些Bug</t>
  </si>
  <si>
    <t>回合</t>
  </si>
  <si>
    <t>生效卡牌</t>
  </si>
  <si>
    <t>生效能力</t>
  </si>
  <si>
    <t>皇家护卫</t>
  </si>
  <si>
    <t>主教</t>
  </si>
  <si>
    <t>巫师</t>
  </si>
  <si>
    <t>人偶长矛手</t>
  </si>
  <si>
    <t>须臾剑士</t>
  </si>
  <si>
    <t>祥和的教会</t>
  </si>
  <si>
    <t>智慧光辉</t>
  </si>
  <si>
    <t>羽翼石像</t>
  </si>
  <si>
    <t>破坏的祈祷者</t>
  </si>
  <si>
    <t>篡夺的据点</t>
  </si>
  <si>
    <t>疯狂的恩宠</t>
  </si>
  <si>
    <t>魔女的炼金炉</t>
  </si>
  <si>
    <t>破坏的荒野</t>
  </si>
  <si>
    <t>奉还的剑闪</t>
  </si>
  <si>
    <t>安息的肯定者</t>
  </si>
  <si>
    <t>暴风破</t>
  </si>
  <si>
    <t>潜伏的曼纽</t>
  </si>
  <si>
    <t>加速引擎</t>
  </si>
  <si>
    <t>依恋的人偶师</t>
  </si>
  <si>
    <t>篡夺的肯定者</t>
  </si>
  <si>
    <t>安息的神殿</t>
  </si>
  <si>
    <t>帕梅拉的舞蹈</t>
  </si>
  <si>
    <t>禁密的圣地</t>
  </si>
  <si>
    <t>歼灭的歌声</t>
  </si>
  <si>
    <t>篡夺的祈祷者</t>
  </si>
  <si>
    <t>涸绝的显现·吉尔内莉莎</t>
  </si>
  <si>
    <t>憧憬的魔女·梅薇</t>
  </si>
  <si>
    <t>野兽公主的誓约</t>
  </si>
  <si>
    <t>调频分析员</t>
  </si>
  <si>
    <t>勇猛的鲁米那斯枪士</t>
  </si>
  <si>
    <t>飓风天业·格里姆尼尔</t>
  </si>
  <si>
    <t>理光的证明</t>
  </si>
  <si>
    <t>爽朗的天宫·菲尔德亚</t>
  </si>
  <si>
    <t>人偶剧场</t>
  </si>
  <si>
    <t>沉默的狙击手·瓦路兹</t>
  </si>
  <si>
    <t>安息的祈祷者</t>
  </si>
  <si>
    <t>混沌赤焰</t>
  </si>
  <si>
    <t>禁密的天宫·罗纳维罗</t>
  </si>
  <si>
    <t>充满勇气之人</t>
  </si>
  <si>
    <t>空绝的显现·奥克托丽丝</t>
  </si>
  <si>
    <t>圣辉闪烁</t>
  </si>
  <si>
    <t>投影鸟像</t>
  </si>
  <si>
    <t>镜像刻录者</t>
  </si>
  <si>
    <t>崭新的少女·欧丝</t>
  </si>
  <si>
    <t>试炼的石板</t>
  </si>
  <si>
    <t>绝望的显现·玛温</t>
  </si>
  <si>
    <t>做作业啦！</t>
  </si>
  <si>
    <t>水之守护神·萨蕾法</t>
  </si>
  <si>
    <t>奏绝的显现·莉洁纳</t>
  </si>
  <si>
    <t>篡夺的团结者</t>
  </si>
  <si>
    <t>闪耀的失意</t>
  </si>
  <si>
    <t>理光的天宫·艾德薇诗</t>
  </si>
  <si>
    <t>邪教法器</t>
  </si>
  <si>
    <t>冒险的歧路</t>
  </si>
  <si>
    <t>破坏的肯定者</t>
  </si>
  <si>
    <t>王断的天宫·斯塔奇乌姆</t>
  </si>
  <si>
    <t>否定的咏唱·芭赛特</t>
  </si>
  <si>
    <t>翎雨</t>
  </si>
  <si>
    <t>破坏的团结者</t>
  </si>
  <si>
    <t>雷维翁的迅雷·阿尔贝尔</t>
  </si>
  <si>
    <t>安息的团结者</t>
  </si>
  <si>
    <t>玛纳利亚密友·安&amp;古蕾雅</t>
  </si>
  <si>
    <t>勇武的堕天使·奥莉薇</t>
  </si>
  <si>
    <t>箱庭的断罪者·希尔薇娅</t>
  </si>
  <si>
    <t>篡夺的继承者·辛瑟莱兹</t>
  </si>
  <si>
    <t>呜咽的圣骑士·维尔伯特</t>
  </si>
  <si>
    <t>精金炼金术师·诺曼</t>
  </si>
  <si>
    <t>伟大的炽天使·勒碧丝</t>
  </si>
  <si>
    <t>命运黄昏·奥丁</t>
  </si>
  <si>
    <t>五行之巅·久苑</t>
  </si>
  <si>
    <t>纯白圣女·贞德</t>
  </si>
  <si>
    <t>曙光的神使</t>
  </si>
  <si>
    <t>触手撕咬</t>
  </si>
  <si>
    <t>安息的继承者·妃花</t>
  </si>
  <si>
    <t>唤鬼术</t>
  </si>
  <si>
    <t>神圣狮鹫</t>
  </si>
  <si>
    <t>人马骑士</t>
  </si>
  <si>
    <t>雪人觉醒</t>
  </si>
  <si>
    <t>终极之罪·深渊之主</t>
  </si>
  <si>
    <t>超越次元</t>
  </si>
  <si>
    <t>MatchID</t>
  </si>
  <si>
    <t>ID</t>
  </si>
  <si>
    <t>Turn</t>
  </si>
  <si>
    <t>Area</t>
  </si>
  <si>
    <t>Effect</t>
  </si>
  <si>
    <t>Action</t>
  </si>
  <si>
    <t>Goal</t>
  </si>
  <si>
    <t>Value</t>
  </si>
  <si>
    <t>CountName</t>
  </si>
  <si>
    <t>Count</t>
  </si>
  <si>
    <t>Leader</t>
  </si>
  <si>
    <t>Random</t>
  </si>
  <si>
    <t>Portalcraft</t>
  </si>
  <si>
    <t>Deck</t>
  </si>
  <si>
    <t>TurnStart</t>
  </si>
  <si>
    <t>AddToHand</t>
  </si>
  <si>
    <t>TurnEnd</t>
  </si>
  <si>
    <t>Play</t>
  </si>
  <si>
    <t>EnterField</t>
  </si>
  <si>
    <t>Strike</t>
  </si>
  <si>
    <t>Clash</t>
  </si>
  <si>
    <t>Hand</t>
  </si>
  <si>
    <t>Destroy</t>
  </si>
  <si>
    <t>LeaveField</t>
  </si>
  <si>
    <t>纹章:马戏团人偶</t>
  </si>
  <si>
    <t>EffectEnter</t>
  </si>
  <si>
    <t>Select</t>
  </si>
  <si>
    <t>Field</t>
  </si>
  <si>
    <t>AttackIncreased</t>
  </si>
  <si>
    <t>DefenseIncreased</t>
  </si>
  <si>
    <t>Increased</t>
  </si>
  <si>
    <t>Damaged</t>
  </si>
  <si>
    <t>Evolve</t>
  </si>
  <si>
    <t>English</t>
  </si>
  <si>
    <t>Chinese</t>
  </si>
  <si>
    <t>Forestcraft</t>
  </si>
  <si>
    <t>精灵</t>
  </si>
  <si>
    <t>Swordcraft</t>
  </si>
  <si>
    <t>Runecraft</t>
  </si>
  <si>
    <t>Dragoncraft</t>
  </si>
  <si>
    <t>龙族</t>
  </si>
  <si>
    <t>Abysscraft</t>
  </si>
  <si>
    <t>梦魇</t>
  </si>
  <si>
    <t>Havencraft</t>
  </si>
  <si>
    <t>Neutral</t>
  </si>
  <si>
    <t>中立</t>
  </si>
  <si>
    <t>Fanfare</t>
  </si>
  <si>
    <t>入场曲</t>
  </si>
  <si>
    <t>LastWords</t>
  </si>
  <si>
    <t>谢幕曲</t>
  </si>
  <si>
    <t>使用</t>
  </si>
  <si>
    <t>进化</t>
  </si>
  <si>
    <t>SuperEvolve</t>
  </si>
  <si>
    <t>超进化</t>
  </si>
  <si>
    <t>攻击时</t>
  </si>
  <si>
    <t>交战时</t>
  </si>
  <si>
    <t>Engage</t>
  </si>
  <si>
    <t>启动</t>
  </si>
  <si>
    <t>Spellboost</t>
  </si>
  <si>
    <t>魔力增幅</t>
  </si>
  <si>
    <t>Fuse</t>
  </si>
  <si>
    <t>融合</t>
  </si>
  <si>
    <t>Enhance</t>
  </si>
  <si>
    <t>爆能强化</t>
  </si>
  <si>
    <t>Accelerate</t>
  </si>
  <si>
    <t>激奏</t>
  </si>
  <si>
    <t>Crystallize</t>
  </si>
  <si>
    <t>结晶</t>
  </si>
  <si>
    <t>Rush</t>
  </si>
  <si>
    <t>突进</t>
  </si>
  <si>
    <t>Storm</t>
  </si>
  <si>
    <t>疾驰</t>
  </si>
  <si>
    <t>Ambush</t>
  </si>
  <si>
    <t>潜行</t>
  </si>
  <si>
    <t>Bane</t>
  </si>
  <si>
    <t>毁灭</t>
  </si>
  <si>
    <t>Ward</t>
  </si>
  <si>
    <t>守护</t>
  </si>
  <si>
    <t>Drain</t>
  </si>
  <si>
    <t>虹吸</t>
  </si>
  <si>
    <t>Intimidate</t>
  </si>
  <si>
    <t>威慑</t>
  </si>
  <si>
    <t>Aura</t>
  </si>
  <si>
    <t>灵气</t>
  </si>
  <si>
    <t>Barrier</t>
  </si>
  <si>
    <t>屏障</t>
  </si>
  <si>
    <t>ActivateInHand</t>
  </si>
  <si>
    <t>在手牌中发动</t>
  </si>
  <si>
    <t>When</t>
  </si>
  <si>
    <t>当</t>
  </si>
  <si>
    <t>While</t>
  </si>
  <si>
    <t>本卡牌在战场时</t>
  </si>
  <si>
    <t>ClickToInput</t>
  </si>
  <si>
    <t>点击输入</t>
  </si>
  <si>
    <t>选择</t>
  </si>
  <si>
    <t>CardSet</t>
  </si>
  <si>
    <t>卡包</t>
  </si>
  <si>
    <t>随机</t>
  </si>
  <si>
    <t>SetGoal</t>
  </si>
  <si>
    <t>限定目标</t>
  </si>
  <si>
    <t>ThisCard</t>
  </si>
  <si>
    <t>本卡牌</t>
  </si>
  <si>
    <t>Other</t>
  </si>
  <si>
    <t>其他</t>
  </si>
  <si>
    <t>Opposing</t>
  </si>
  <si>
    <t>交战对手</t>
  </si>
  <si>
    <t>It</t>
  </si>
  <si>
    <t>该卡牌</t>
  </si>
  <si>
    <t>Except</t>
  </si>
  <si>
    <t>以外的</t>
  </si>
  <si>
    <t>Allied</t>
  </si>
  <si>
    <t>自己的</t>
  </si>
  <si>
    <t>Enemy</t>
  </si>
  <si>
    <t>对手的</t>
  </si>
  <si>
    <t>Follower</t>
  </si>
  <si>
    <t>随从</t>
  </si>
  <si>
    <t>Spell</t>
  </si>
  <si>
    <t>法术</t>
  </si>
  <si>
    <t>Amulet</t>
  </si>
  <si>
    <t>护符</t>
  </si>
  <si>
    <t>Card</t>
  </si>
  <si>
    <t>卡牌</t>
  </si>
  <si>
    <t>主战者</t>
  </si>
  <si>
    <t>EvolveButton</t>
  </si>
  <si>
    <t>进化状态</t>
  </si>
  <si>
    <t>UnEvolved</t>
  </si>
  <si>
    <t>进化前</t>
  </si>
  <si>
    <t>Evolved</t>
  </si>
  <si>
    <t>进化后</t>
  </si>
  <si>
    <t>SuperEvolved</t>
  </si>
  <si>
    <t>超进化后</t>
  </si>
  <si>
    <t>AttackButton</t>
  </si>
  <si>
    <t>攻击状态</t>
  </si>
  <si>
    <t>UnStriked</t>
  </si>
  <si>
    <t>未攻击</t>
  </si>
  <si>
    <t>Striked</t>
  </si>
  <si>
    <t>已攻击</t>
  </si>
  <si>
    <t>DamagedButton</t>
  </si>
  <si>
    <t>受伤状态</t>
  </si>
  <si>
    <t>UnDamaged</t>
  </si>
  <si>
    <t>未受伤</t>
  </si>
  <si>
    <t>已受伤</t>
  </si>
  <si>
    <t>EngageButton</t>
  </si>
  <si>
    <t>启动状态</t>
  </si>
  <si>
    <t>UnEngaged</t>
  </si>
  <si>
    <t>未启动</t>
  </si>
  <si>
    <t>Engaged</t>
  </si>
  <si>
    <t>已启动</t>
  </si>
  <si>
    <t>Class</t>
  </si>
  <si>
    <t>All</t>
  </si>
  <si>
    <t>所有</t>
  </si>
  <si>
    <t>Keyword</t>
  </si>
  <si>
    <t>能力关键词</t>
  </si>
  <si>
    <t>UnSelect</t>
  </si>
  <si>
    <t>反选</t>
  </si>
  <si>
    <t>Trait</t>
  </si>
  <si>
    <t>类型</t>
  </si>
  <si>
    <t>战场</t>
  </si>
  <si>
    <t>手牌</t>
  </si>
  <si>
    <t>牌组</t>
  </si>
  <si>
    <t>ModelButton</t>
  </si>
  <si>
    <t>费用/身材/吟唱</t>
  </si>
  <si>
    <t>Cost</t>
  </si>
  <si>
    <t>Attack</t>
  </si>
  <si>
    <t>攻击力</t>
  </si>
  <si>
    <t>Defense</t>
  </si>
  <si>
    <t>Countdown</t>
  </si>
  <si>
    <t>吟唱</t>
  </si>
  <si>
    <t>IsAddCondition</t>
  </si>
  <si>
    <t>是否添加条件</t>
  </si>
  <si>
    <t>Highest</t>
  </si>
  <si>
    <t>最高</t>
  </si>
  <si>
    <t>Lowest</t>
  </si>
  <si>
    <t>最低</t>
  </si>
  <si>
    <t>Compare</t>
  </si>
  <si>
    <t>比较</t>
  </si>
  <si>
    <t>SameName</t>
  </si>
  <si>
    <t>同名</t>
  </si>
  <si>
    <t>DifferentName</t>
  </si>
  <si>
    <t>不同名</t>
  </si>
  <si>
    <t>And</t>
  </si>
  <si>
    <t>且</t>
  </si>
  <si>
    <t>Or</t>
  </si>
  <si>
    <t>或</t>
  </si>
  <si>
    <t>Cancel</t>
  </si>
  <si>
    <t>取消</t>
  </si>
  <si>
    <t>If</t>
  </si>
  <si>
    <t>若</t>
  </si>
  <si>
    <t>Combo</t>
  </si>
  <si>
    <t>连击</t>
  </si>
  <si>
    <t>Rally</t>
  </si>
  <si>
    <t>EarthRite</t>
  </si>
  <si>
    <t>土之秘术</t>
  </si>
  <si>
    <t>Overflow</t>
  </si>
  <si>
    <t>觉醒</t>
  </si>
  <si>
    <t>Necromancy</t>
  </si>
  <si>
    <t>唤灵</t>
  </si>
  <si>
    <t>DuringTurnButton</t>
  </si>
  <si>
    <t>若为……的回合</t>
  </si>
  <si>
    <t>UntilTurnButton</t>
  </si>
  <si>
    <t>……的回合……前</t>
  </si>
  <si>
    <t>UnlockTurnButton</t>
  </si>
  <si>
    <t>若为(超)进化已解禁的回合</t>
  </si>
  <si>
    <t>Until</t>
  </si>
  <si>
    <t>前</t>
  </si>
  <si>
    <t>Unlock</t>
  </si>
  <si>
    <t>解禁</t>
  </si>
  <si>
    <t>Start</t>
  </si>
  <si>
    <t>开始</t>
  </si>
  <si>
    <t>End</t>
  </si>
  <si>
    <t>结束</t>
  </si>
  <si>
    <t>Times</t>
  </si>
  <si>
    <t>次数</t>
  </si>
  <si>
    <t>TimesPerTurn</t>
  </si>
  <si>
    <t>每回合中可触发</t>
  </si>
  <si>
    <t>Mode</t>
  </si>
  <si>
    <t>模式</t>
  </si>
  <si>
    <t>Crest</t>
  </si>
  <si>
    <t>纹章</t>
  </si>
  <si>
    <t>EarthSigil</t>
  </si>
  <si>
    <t>土之印</t>
  </si>
  <si>
    <t>Reanimate</t>
  </si>
  <si>
    <t>亡者召还</t>
  </si>
  <si>
    <t>Draw</t>
  </si>
  <si>
    <t>抽取卡牌</t>
  </si>
  <si>
    <t>Summon</t>
  </si>
  <si>
    <t>召唤</t>
  </si>
  <si>
    <t>加入手牌</t>
  </si>
  <si>
    <t>AddToDeck</t>
  </si>
  <si>
    <t>加入牌组</t>
  </si>
  <si>
    <t>PP</t>
  </si>
  <si>
    <t>MaxPP</t>
  </si>
  <si>
    <t>MaxDefense</t>
  </si>
  <si>
    <t>生命值最大值</t>
  </si>
  <si>
    <t>Give</t>
  </si>
  <si>
    <t>给予能力</t>
  </si>
  <si>
    <t>Remove</t>
  </si>
  <si>
    <t>失去能力</t>
  </si>
  <si>
    <t>ReturnToHand</t>
  </si>
  <si>
    <t>返回手牌</t>
  </si>
  <si>
    <t>ReturnToDeck</t>
  </si>
  <si>
    <t>手牌返回牌组</t>
  </si>
  <si>
    <t>Discard</t>
  </si>
  <si>
    <t>舍弃手牌</t>
  </si>
  <si>
    <t>Copy</t>
  </si>
  <si>
    <t>复制</t>
  </si>
  <si>
    <t>CopySummon</t>
  </si>
  <si>
    <t>复制召唤</t>
  </si>
  <si>
    <t>Search</t>
  </si>
  <si>
    <t>检索</t>
  </si>
  <si>
    <t>SearchSummon</t>
  </si>
  <si>
    <t>检索召唤</t>
  </si>
  <si>
    <t>破坏</t>
  </si>
  <si>
    <t>Banish</t>
  </si>
  <si>
    <t>消失</t>
  </si>
  <si>
    <t>Damage</t>
  </si>
  <si>
    <t>伤害</t>
  </si>
  <si>
    <t>SplitDamage</t>
  </si>
  <si>
    <t>分配伤害</t>
  </si>
  <si>
    <t>Restore</t>
  </si>
  <si>
    <t>回复</t>
  </si>
  <si>
    <t>Transform</t>
  </si>
  <si>
    <t>变身</t>
  </si>
  <si>
    <t>ReplaceDeck</t>
  </si>
  <si>
    <t>替换牌组</t>
  </si>
  <si>
    <t>NamingCount</t>
  </si>
  <si>
    <t>冠名计数</t>
  </si>
  <si>
    <t>Victory</t>
  </si>
  <si>
    <t>胜利</t>
  </si>
  <si>
    <t>Change</t>
  </si>
  <si>
    <t>改为</t>
  </si>
  <si>
    <t>SameGoal</t>
  </si>
  <si>
    <t>相同目标</t>
  </si>
  <si>
    <t>Repeat</t>
  </si>
  <si>
    <t>重复</t>
  </si>
  <si>
    <t>RepeatButton</t>
  </si>
  <si>
    <t>（重复）发动……次</t>
  </si>
  <si>
    <t>InOrder</t>
  </si>
  <si>
    <t>依序</t>
  </si>
  <si>
    <t>ModePlus</t>
  </si>
  <si>
    <t>模式可选增加</t>
  </si>
  <si>
    <t>Cards</t>
  </si>
  <si>
    <t>张数</t>
  </si>
  <si>
    <t>Types</t>
  </si>
  <si>
    <t>种类数</t>
  </si>
  <si>
    <t>Turns</t>
  </si>
  <si>
    <t>LeaderDefense</t>
  </si>
  <si>
    <t>主战者生命值</t>
  </si>
  <si>
    <t>HandDestroy</t>
  </si>
  <si>
    <t>爆牌</t>
  </si>
  <si>
    <t>进入战场</t>
  </si>
  <si>
    <t>离开战场</t>
  </si>
  <si>
    <t>FirstMove</t>
  </si>
  <si>
    <t>先手</t>
  </si>
  <si>
    <t>后手</t>
  </si>
  <si>
    <t>BattleYourself</t>
  </si>
  <si>
    <t>左右互搏</t>
  </si>
  <si>
    <t>Finish</t>
  </si>
  <si>
    <t>完成</t>
  </si>
  <si>
    <t>CardExchange</t>
  </si>
  <si>
    <t>按下你不想要的卡牌</t>
  </si>
  <si>
    <t>IsOverflow</t>
  </si>
  <si>
    <t>是否觉醒</t>
  </si>
  <si>
    <t>UnOverflow</t>
  </si>
  <si>
    <t>未觉醒</t>
  </si>
  <si>
    <t>CardName</t>
  </si>
  <si>
    <t>Counts</t>
  </si>
  <si>
    <t>Const</t>
  </si>
  <si>
    <t>常数</t>
  </si>
  <si>
    <t>Permannent</t>
  </si>
  <si>
    <t>常驻效果</t>
  </si>
  <si>
    <t>CantBeDestroyed</t>
  </si>
  <si>
    <t>不会被能力破坏</t>
  </si>
  <si>
    <t>IncreaseModes</t>
  </si>
  <si>
    <t>选择的「模式」数增加</t>
  </si>
  <si>
    <t>Replicate</t>
  </si>
  <si>
    <t>重复发动</t>
  </si>
  <si>
    <t>CompareButton</t>
  </si>
  <si>
    <t>存储当前比较条件，以再添加一个</t>
  </si>
  <si>
    <t>TurnDestroy</t>
  </si>
  <si>
    <t>本回合破坏</t>
  </si>
  <si>
    <t>MatchDestroy</t>
  </si>
  <si>
    <t>本次对战破坏</t>
  </si>
  <si>
    <t>Orig</t>
  </si>
  <si>
    <t>原始</t>
  </si>
  <si>
    <t>CanAttackTimes</t>
  </si>
  <si>
    <t>1回合可以攻击</t>
  </si>
  <si>
    <t>NoDuplicates</t>
  </si>
  <si>
    <t>没有重复</t>
  </si>
  <si>
    <t>NoDuplicatesButton</t>
  </si>
  <si>
    <t>若……中没有重复卡牌</t>
  </si>
  <si>
    <t>Difference</t>
  </si>
  <si>
    <t>差值</t>
  </si>
  <si>
    <t>Sum</t>
  </si>
  <si>
    <t>合计值</t>
  </si>
  <si>
    <t>Shadows</t>
  </si>
  <si>
    <t>SetX</t>
  </si>
  <si>
    <t>X起始值</t>
  </si>
  <si>
    <t>OrigCost</t>
  </si>
  <si>
    <t>原始费用</t>
  </si>
  <si>
    <t>OrigAttack</t>
  </si>
  <si>
    <t>原始攻击力</t>
  </si>
  <si>
    <t>OrigDefense</t>
  </si>
  <si>
    <t>原始生命值</t>
  </si>
  <si>
    <t>OrigCountdown</t>
  </si>
  <si>
    <t>原始吟唱</t>
  </si>
  <si>
    <t>LeftMost</t>
  </si>
  <si>
    <t>从左起的</t>
  </si>
  <si>
    <t>RightMost</t>
  </si>
  <si>
    <t>从右起的</t>
  </si>
  <si>
    <t>GetPP</t>
  </si>
  <si>
    <t>Unusable</t>
  </si>
  <si>
    <t>不能使用</t>
  </si>
  <si>
    <t>Used</t>
  </si>
  <si>
    <t>已使用</t>
  </si>
  <si>
    <t>LeaveBanish</t>
  </si>
  <si>
    <t>离场时使本随从消失</t>
  </si>
  <si>
    <t>CantStrike</t>
  </si>
  <si>
    <t>CantPlay</t>
  </si>
  <si>
    <t>无法使用</t>
  </si>
  <si>
    <t>Costs</t>
  </si>
  <si>
    <t>费用合计</t>
  </si>
  <si>
    <t>HaveFused</t>
  </si>
  <si>
    <t>已融合</t>
  </si>
  <si>
    <t>Fused</t>
  </si>
  <si>
    <t>被融合</t>
  </si>
  <si>
    <t>FuseCards</t>
  </si>
  <si>
    <t>融合卡牌</t>
  </si>
  <si>
    <t>回合开始</t>
  </si>
  <si>
    <t>回合结束</t>
  </si>
  <si>
    <t>Faith</t>
  </si>
  <si>
    <t>Legendary</t>
  </si>
  <si>
    <t>虹卡</t>
  </si>
  <si>
    <t>Gold</t>
  </si>
  <si>
    <t>金卡</t>
  </si>
  <si>
    <t>Silver</t>
  </si>
  <si>
    <t>银卡</t>
  </si>
  <si>
    <t>Bronze</t>
  </si>
  <si>
    <t>铜卡</t>
  </si>
  <si>
    <t>No</t>
  </si>
  <si>
    <t>第</t>
  </si>
  <si>
    <t>ThisTurn</t>
  </si>
  <si>
    <t>本回合</t>
  </si>
  <si>
    <t>BanishDuplicates</t>
  </si>
  <si>
    <t>消失重复</t>
  </si>
  <si>
    <t>CantSelectOther</t>
  </si>
  <si>
    <t>对手能力只能选择本卡牌</t>
  </si>
  <si>
    <t>攻击力增加</t>
  </si>
  <si>
    <t>生命值增加</t>
  </si>
  <si>
    <t>AttackDecreased</t>
  </si>
  <si>
    <t>攻击力减少</t>
  </si>
  <si>
    <t>DefenseDecreased</t>
  </si>
  <si>
    <t>生命值减少</t>
  </si>
  <si>
    <t>攻击力或生命值增加</t>
  </si>
  <si>
    <t>Decreased</t>
  </si>
  <si>
    <t>攻击力或生命值减少</t>
  </si>
  <si>
    <t>Model</t>
  </si>
  <si>
    <t>费用/攻击力/生命值/吟唱</t>
  </si>
  <si>
    <t>SameNameToHand</t>
  </si>
  <si>
    <t>同名加入手牌</t>
  </si>
  <si>
    <t>ActionCardsBtn</t>
  </si>
  <si>
    <t>本回合/本次对战……的卡牌</t>
  </si>
  <si>
    <t>ThisMatch</t>
  </si>
  <si>
    <t>本次对战</t>
  </si>
  <si>
    <t>AuxSelect</t>
  </si>
  <si>
    <t>辅助选择</t>
  </si>
  <si>
    <t>Skybound</t>
  </si>
  <si>
    <t>奥义</t>
  </si>
  <si>
    <t>SuperSkybound</t>
  </si>
  <si>
    <t>解放奥义</t>
  </si>
  <si>
    <t>CantTakeMoreDamage</t>
  </si>
  <si>
    <t>限伤</t>
  </si>
  <si>
    <t>TakeDamage</t>
  </si>
  <si>
    <t>受到的伤害</t>
  </si>
  <si>
    <t>ActivateInDeck</t>
  </si>
  <si>
    <t>在牌组中发动</t>
  </si>
  <si>
    <t>Invoke</t>
  </si>
  <si>
    <t>瞬念召唤</t>
  </si>
  <si>
    <t>Variate</t>
  </si>
  <si>
    <t>变量</t>
  </si>
  <si>
    <t>因能力进入战场</t>
  </si>
  <si>
    <t>SameSummon</t>
  </si>
  <si>
    <t>同名召唤</t>
  </si>
  <si>
    <t>HandSummon</t>
  </si>
  <si>
    <t>手牌召唤</t>
  </si>
  <si>
    <t>启示录牌组</t>
  </si>
  <si>
    <t>麦哲佩恩牌组</t>
  </si>
  <si>
    <t>沉默的魔将</t>
  </si>
  <si>
    <t>深渊之主的仆从</t>
  </si>
  <si>
    <t>抗拒叹息之人</t>
  </si>
  <si>
    <t>涸绝的使徒</t>
  </si>
  <si>
    <t>至高的凌驾</t>
  </si>
  <si>
    <t>边狱的邪祟</t>
  </si>
  <si>
    <t>绝命的显现·艾斯迪亚</t>
  </si>
  <si>
    <t>不弑的继承者·库露露</t>
  </si>
  <si>
    <t>驱逐的死矢</t>
  </si>
  <si>
    <t>阿斯塔罗特的宣判</t>
  </si>
  <si>
    <t>不弑的团结者</t>
  </si>
  <si>
    <t>不弑之乡</t>
  </si>
  <si>
    <t>不弑的祈祷者</t>
  </si>
  <si>
    <t>树海的战士</t>
  </si>
  <si>
    <t>不弑的肯定者</t>
  </si>
  <si>
    <t>妖精剑的后继者</t>
  </si>
  <si>
    <t>野性的猛袭</t>
  </si>
  <si>
    <t>活泼的斥候</t>
  </si>
  <si>
    <t>护盾强袭</t>
  </si>
  <si>
    <t>剑圣的同胞</t>
  </si>
  <si>
    <t>真理的继承者·蓓哈丽雅</t>
  </si>
  <si>
    <t>绝尽的显现·莱奥</t>
  </si>
  <si>
    <t>虚假的术式</t>
  </si>
  <si>
    <t>真理的团结者</t>
  </si>
  <si>
    <t>真理的研究设施</t>
  </si>
  <si>
    <t>双重创造</t>
  </si>
  <si>
    <t>真理的祈祷者</t>
  </si>
  <si>
    <t>真理的肯定者</t>
  </si>
  <si>
    <t>五行修行者</t>
  </si>
  <si>
    <t>水晶的指引</t>
  </si>
  <si>
    <t>侮蔑的继承者·安吉拉弗利特</t>
  </si>
  <si>
    <t>烈绝的显现·嘉尔缪</t>
  </si>
  <si>
    <t>威猛炽焰</t>
  </si>
  <si>
    <t>侮蔑的团结者</t>
  </si>
  <si>
    <t>侮蔑之国</t>
  </si>
  <si>
    <t>海洋骑手</t>
  </si>
  <si>
    <t>侮蔑的祈祷者</t>
  </si>
  <si>
    <t>侮蔑的肯定者</t>
  </si>
  <si>
    <t>雷霆之怒</t>
  </si>
  <si>
    <t>风雪龙人</t>
  </si>
  <si>
    <t>绝叫与爱绝的显现·鲁鲁纳伊&amp;巴娜蕾卡</t>
  </si>
  <si>
    <t>混融的继承者·莎木·纳克雅</t>
  </si>
  <si>
    <t>叫唤与憎恶</t>
  </si>
  <si>
    <t>混融的团结者</t>
  </si>
  <si>
    <t>新来的守墓人</t>
  </si>
  <si>
    <t>混融之城</t>
  </si>
  <si>
    <t>混融的祈祷者</t>
  </si>
  <si>
    <t>混融的肯定者</t>
  </si>
  <si>
    <t>前进的暴虐</t>
  </si>
  <si>
    <t>泡沫鬼姬</t>
  </si>
  <si>
    <t>羽翼狮子像</t>
  </si>
  <si>
    <t>圣骑士团员</t>
  </si>
  <si>
    <t>现场工程师</t>
  </si>
  <si>
    <t>丝线突袭</t>
  </si>
  <si>
    <t>音速飞行兵</t>
  </si>
  <si>
    <t>Tap</t>
  </si>
  <si>
    <t>Name</t>
  </si>
  <si>
    <t>Rarity</t>
  </si>
  <si>
    <t>妖精</t>
  </si>
  <si>
    <t>士兵</t>
  </si>
  <si>
    <t>巨像</t>
  </si>
  <si>
    <t>亡者</t>
  </si>
  <si>
    <t>人偶</t>
  </si>
  <si>
    <t>创造物</t>
  </si>
  <si>
    <t>财宝</t>
  </si>
  <si>
    <t>雷维翁</t>
  </si>
  <si>
    <t>鲁米那斯</t>
  </si>
  <si>
    <t>玛纳利亚</t>
  </si>
  <si>
    <t>式神</t>
  </si>
  <si>
    <t>海洋</t>
  </si>
  <si>
    <t>安纳提玛</t>
  </si>
  <si>
    <t>机械</t>
  </si>
  <si>
    <t>载具</t>
  </si>
  <si>
    <t>Type</t>
  </si>
  <si>
    <t>Effect1</t>
  </si>
  <si>
    <t>Effect2</t>
  </si>
  <si>
    <t>Effect3</t>
  </si>
  <si>
    <t>Effect4</t>
  </si>
  <si>
    <t>Effect5</t>
  </si>
  <si>
    <t>Effect6</t>
  </si>
  <si>
    <t>Effect7</t>
  </si>
  <si>
    <t>Effect8</t>
  </si>
  <si>
    <t>Effect9</t>
  </si>
  <si>
    <t>神眷的棋盘</t>
  </si>
  <si>
    <t>Evolve||Replicate|Fanfare</t>
  </si>
  <si>
    <t>Engage&amp;0||Destroy|ThisCard</t>
  </si>
  <si>
    <t>Engage&amp;0||Give|Allied-Field-Trait:6-Follower|{CantBeDestroyed}</t>
  </si>
  <si>
    <t>基础卡牌</t>
  </si>
  <si>
    <t>先手主战者</t>
  </si>
  <si>
    <t>后手主战者</t>
  </si>
  <si>
    <t>冒险者公会</t>
  </si>
  <si>
    <t>Fanfare||Search|Random&amp;1-Follower</t>
  </si>
  <si>
    <t>Engage&amp;0||Give|Select&amp;1-Allied-Field-Follower|{Rush}</t>
  </si>
  <si>
    <t>煌响使者·亨莉雅妲</t>
  </si>
  <si>
    <t>Evolve||Restore|Allied-Leader|2||Change|SuperEvolve||Restore|Allied-Leader|4</t>
  </si>
  <si>
    <t>昆虫的忠告</t>
  </si>
  <si>
    <t>Play||ReturnToHand|Select&amp;1-Allied-Card</t>
  </si>
  <si>
    <t>Play||Damage|Random&amp;1-Enemy-Follower|2</t>
  </si>
  <si>
    <t>音速射手·塞尔文</t>
  </si>
  <si>
    <t>SuperEvolve||ReturnToHand|Select&amp;1-Enemy-Follower</t>
  </si>
  <si>
    <t>妖精驯服者</t>
  </si>
  <si>
    <t>Fanfare||AddToHand|1010402|2</t>
  </si>
  <si>
    <t>缭乱之庭</t>
  </si>
  <si>
    <t>Fanfare||AddToHand|1010402|1</t>
  </si>
  <si>
    <t>When|Allied-Trait:1-Follower|EnterField||Damage|Random&amp;1-Enemy-Follower|1</t>
  </si>
  <si>
    <t>温厚的树精</t>
  </si>
  <si>
    <t>Fanfare||If|Combo&amp;3||Evolve|ThisCard</t>
  </si>
  <si>
    <t>Strike||Restore|Allied-Leader|2</t>
  </si>
  <si>
    <t>流浪兽人</t>
  </si>
  <si>
    <t>Fanfare||NamingCount|Combo|1</t>
  </si>
  <si>
    <t>骑士</t>
  </si>
  <si>
    <t>王室御用车夫</t>
  </si>
  <si>
    <t>LastWords||Summon|1020401|1</t>
  </si>
  <si>
    <t>魔煌的诡谲者·拉斯提</t>
  </si>
  <si>
    <t>SuperEvolve||Search|SameName&amp;1021302-Follower||Give|It|{Storm}</t>
  </si>
  <si>
    <t>昭示正统的王冠</t>
  </si>
  <si>
    <t>When|Allied-Follower|EnterField||+1/+1|It</t>
  </si>
  <si>
    <t>女仆的礼仪</t>
  </si>
  <si>
    <t>Play||ReturnToDeck|Select&amp;1-Allied-Other-Card</t>
  </si>
  <si>
    <t>Play||Search|Random&amp;2-Swordcraft-Follower</t>
  </si>
  <si>
    <t>战斗商贩</t>
  </si>
  <si>
    <t>LastWords||Draw|1</t>
  </si>
  <si>
    <t>大地之魔片</t>
  </si>
  <si>
    <t>Engage&amp;1||EarthSigil|1</t>
  </si>
  <si>
    <t>泥尘巨像</t>
  </si>
  <si>
    <t>守护者巨像</t>
  </si>
  <si>
    <t>双面魔女·蕾米拉米</t>
  </si>
  <si>
    <t>Fanfare||If|EarthRite&amp;1||Summon|1030404|1</t>
  </si>
  <si>
    <t>SuperEvolve||Evolve|Select&amp;1-Allied-UnEvolved-Trait:4-Follower||+3/+3|It</t>
  </si>
  <si>
    <t>魔爆</t>
  </si>
  <si>
    <t>Play||Damage|Follower|2</t>
  </si>
  <si>
    <t>Play||If|EarthRite&amp;1||Draw|1</t>
  </si>
  <si>
    <t>召唤真理</t>
  </si>
  <si>
    <t>Play||Summon|1030403|1</t>
  </si>
  <si>
    <t>闪光魔法剑士</t>
  </si>
  <si>
    <t>Fanfare||Mode&amp;1|{Spellboost|Hand-Card|2}|{If|EarthRite&amp;1||+2/+2|ThisCard||Give|ThisCard|{Ward}}</t>
  </si>
  <si>
    <t>巨翼飞龙</t>
  </si>
  <si>
    <t>龙之启示</t>
  </si>
  <si>
    <t>Play||MaxPP|1</t>
  </si>
  <si>
    <t>Play||If|{MaxPP}&gt;8||Draw|1</t>
  </si>
  <si>
    <t>猛攻的龙战士</t>
  </si>
  <si>
    <t>Evolve||Damage|Select&amp;1-Enemy-Follower|4||Change|SuperEvolve||Damage|Enemy-Follower|4</t>
  </si>
  <si>
    <t>咆哮的驭龙使</t>
  </si>
  <si>
    <t>Enhance&amp;7||Summon|1040402|1</t>
  </si>
  <si>
    <t>战斧屠龙者</t>
  </si>
  <si>
    <t>蝙蝠</t>
  </si>
  <si>
    <t>怨灵</t>
  </si>
  <si>
    <t>When|Allied-Turn-End||Banish|ThisCard</t>
  </si>
  <si>
    <t>多情的唤灵师</t>
  </si>
  <si>
    <t>Evolve||Summon|1050403|2||Change|SuperEvolve||Summon|1050403|2||Give|It|{Drain}</t>
  </si>
  <si>
    <t>捕食灵魂</t>
  </si>
  <si>
    <t>Play||Destroy|Select&amp;1-Allied-Follower</t>
  </si>
  <si>
    <t>Play||Draw|2</t>
  </si>
  <si>
    <t>黑夜鬼人</t>
  </si>
  <si>
    <t>Fanfare||Damage|Allied-Leader|1</t>
  </si>
  <si>
    <t>混沌诅咒</t>
  </si>
  <si>
    <t>Play||Mode&amp;1|{Search|Random&amp;1-Follower}|{Reanimate|2}</t>
  </si>
  <si>
    <t>魔狼首领</t>
  </si>
  <si>
    <t>神圣猎鹰</t>
  </si>
  <si>
    <t>壮丽大神隼</t>
  </si>
  <si>
    <t>When|Allied-Amulet|Engage||Give|ThisCard|{Storm}</t>
  </si>
  <si>
    <t>Engage&amp;1||Countdown-1|ThisCard</t>
  </si>
  <si>
    <t>铁拳神父</t>
  </si>
  <si>
    <t>Evolve||Banish|Select&amp;1-Enemy-Field-Defense&lt;4-Follower||Change|SuperEvolve||Banish|Enemy-Field-Defense&lt;4-Follower</t>
  </si>
  <si>
    <t>纯洁白狐</t>
  </si>
  <si>
    <t>圣翼战士</t>
  </si>
  <si>
    <t>Fanfare||+1/+1|Select&amp;1-Allied-Field-Other-Follower</t>
  </si>
  <si>
    <t>治愈的修女</t>
  </si>
  <si>
    <t>Fanfare||Restore|Allied-Leader|5</t>
  </si>
  <si>
    <t>卓越创造物Ω</t>
  </si>
  <si>
    <t>Fanfare||Damage|Enemy-Follower|5</t>
  </si>
  <si>
    <t>毁灭创造物γ</t>
  </si>
  <si>
    <t>When|Allied-Turn-End||Damage|Enemy-Follower|3</t>
  </si>
  <si>
    <t>毁灭创造物β</t>
  </si>
  <si>
    <t>When|Allied-Turn-End||Damage|Enemy-Leader|3</t>
  </si>
  <si>
    <t>城堡创造物</t>
  </si>
  <si>
    <t>Fuse|Trait:7-Card</t>
  </si>
  <si>
    <t>ActivateInHand-When|ThisCard|Keyword&amp;Fuse||If|{Fuse&amp;Costs}=1||Transform|ThisCard|1070204</t>
  </si>
  <si>
    <t>ActivateInHand-When|ThisCard|Keyword&amp;Fuse||If|{Fuse&amp;Costs}=2||Transform|ThisCard|1070203</t>
  </si>
  <si>
    <t>ActivateInHand-When|ThisCard|Keyword&amp;Fuse||If|{Fuse&amp;Costs}&gt;2||Transform|ThisCard|1070201</t>
  </si>
  <si>
    <t>攻击创造物</t>
  </si>
  <si>
    <t>未来核心</t>
  </si>
  <si>
    <t>Fuse|Trait:7-Amulet</t>
  </si>
  <si>
    <t>ActivateInHand-When|ThisCard|Keyword&amp;Fuse||Transform|ThisCard|1070303</t>
  </si>
  <si>
    <t>When|Enemy-Turn-End||Destroy|ThisCard</t>
  </si>
  <si>
    <t>过往核心</t>
  </si>
  <si>
    <t>ActivateInHand-When|ThisCard|Keyword&amp;Fuse||Transform|ThisCard|1070301</t>
  </si>
  <si>
    <t>电鞭手</t>
  </si>
  <si>
    <t>Fanfare||AddToHand|1070403|1</t>
  </si>
  <si>
    <t>魔钢骑兵</t>
  </si>
  <si>
    <t>Evolve||Summon|1071303|1||Change|SuperEvolve||Summon|1071303|2</t>
  </si>
  <si>
    <t>炮击猫兽人</t>
  </si>
  <si>
    <t>Fanfare||AddToHand|1070401|1</t>
  </si>
  <si>
    <t>来自异次元的枪击</t>
  </si>
  <si>
    <t>Play||Destroy|Select&amp;1-Enemy-Follower</t>
  </si>
  <si>
    <t>Play||AddToHand|1070401|1</t>
  </si>
  <si>
    <t>Play||AddToHand|1070403|1</t>
  </si>
  <si>
    <t>兽性铁人</t>
  </si>
  <si>
    <t>灾杰的继承者</t>
  </si>
  <si>
    <t>涸绝的甘露</t>
  </si>
  <si>
    <t>Play||Damage|Random&amp;1-Enemy-Follower|5</t>
  </si>
  <si>
    <t>Play||Damage|Enemy-Leader|5</t>
  </si>
  <si>
    <t>绝大的证明</t>
  </si>
  <si>
    <t>纹章:绝大的显现·麦哲佩恩</t>
  </si>
  <si>
    <t>When|ThisCard|EnterField||ReplaceDeck|Deck:2</t>
  </si>
  <si>
    <t>When|ThisCard|EnterField||Victory</t>
  </si>
  <si>
    <t>When|Allied-Turn-End||Discard|Allied-DifferentName&amp;1100102-Card||Draw|6</t>
  </si>
  <si>
    <t>Fanfare||+2/-2|Select&amp;1-Field-Other-Follower</t>
  </si>
  <si>
    <t>Fanfare||If|{MaxPP}=10|{Enemy-MaxPP}=10||AddToHand|1100101|1</t>
  </si>
  <si>
    <t>Evolve||+2/-2|Select&amp;1-Field-Follower</t>
  </si>
  <si>
    <t>绝大的显现·麦哲佩恩</t>
  </si>
  <si>
    <t>Fanfare||AddToHand|1100102|1</t>
  </si>
  <si>
    <t>Evolve||Crest&amp;0|{When|ThisCard|EnterField||ReplaceDeck|Deck:2}|{When|ThisCard|EnterField||Victory}|{When|Allied-Turn-End||Discard|Allied-DifferentName&amp;1100102-Card||Draw|6}</t>
  </si>
  <si>
    <t>Fanfare||BanishDuplicates|Allied-Deck-Card</t>
  </si>
  <si>
    <t>Engage&amp;0||Draw|1</t>
  </si>
  <si>
    <t>ActivateInHand-When|Enemy-Follower|SuperEvolve||Give|ThisCard|{Storm}</t>
  </si>
  <si>
    <t>ActivateInHand-When|Enemy-Follower|SuperEvolve||Give|ThisCard|{Bane}</t>
  </si>
  <si>
    <t>Fanfare||+4/-4|Select&amp;1-Field-Other-Follower</t>
  </si>
  <si>
    <t>Play||Draw|3</t>
  </si>
  <si>
    <t>Play||If|NoDuplicates-Allied-Deck-Card||PP|3</t>
  </si>
  <si>
    <t>纹章:不弑的继承者·库露露</t>
  </si>
  <si>
    <t>When|Allied-Follower|EnterField||-1/-1|It</t>
  </si>
  <si>
    <t>绝命的痛击</t>
  </si>
  <si>
    <t>ActivateInHand-When|Allied-Turn-End||Cost-1|ThisCard</t>
  </si>
  <si>
    <t>Play||Damage|Enemy-Leader|6||Change|If|{Cards|Allied-Field-SameName&amp;1111101-Follower}&gt;0||Damage|Enemy-Leader|20</t>
  </si>
  <si>
    <t>Fanfare||+0/-6|Select&amp;1-Enemy-Field-Follower</t>
  </si>
  <si>
    <t>Evolve||AddToHand|1110103|1</t>
  </si>
  <si>
    <t>Fanfare||+0/-2|Enemy-Field-Follower</t>
  </si>
  <si>
    <t>When|Enemy-Field-Follower|DefenseDecreased||If|Allied-Turn|TimesPerTurn&amp;1||Restore|Allied-Leader|1</t>
  </si>
  <si>
    <t>SuperEvolve||Enemy-Crest&amp;2|{When|Allied-Follower|EnterField||-1/-1|It}</t>
  </si>
  <si>
    <t>Play||Repeat&amp;X|+0/-1|Random&amp;1-Enemy-Field-Follower||X=NamingCount&amp;Combo</t>
  </si>
  <si>
    <t>When|ThisCard|EnterField||CopySummon|ThisCard||+0/-1|It</t>
  </si>
  <si>
    <t>Fanfare||Discard|Select&amp;1-Allied-Card</t>
  </si>
  <si>
    <t>Fanfare||Draw|2</t>
  </si>
  <si>
    <t>Engage&amp;0||+0/-2|Select&amp;1-Enemy-Field-Follower</t>
  </si>
  <si>
    <t>Fanfare||+0/-3|Enemy-Field-Follower</t>
  </si>
  <si>
    <t>SuperEvolve||Replicate|Fanfare</t>
  </si>
  <si>
    <t>LastWords||AddToHand|1210402|1</t>
  </si>
  <si>
    <t>LastWords||AddToHand|1010402|1</t>
  </si>
  <si>
    <t>Fanfare||+0/-1|Select&amp;1-Enemy-Field-Follower</t>
  </si>
  <si>
    <t>When|Allied-Trait:1-Follower|EnterField||+1/+0|ThisCard</t>
  </si>
  <si>
    <t>Play||Damage|Select&amp;1-Enemy-Follower|4</t>
  </si>
  <si>
    <t>Play||If|Combo&amp;3||Draw|1</t>
  </si>
  <si>
    <t>纹章:空绝的显现·奥克托丽丝</t>
  </si>
  <si>
    <t>When|Allied-Trait:8-Card|Play||Countdown-1|ThisCard</t>
  </si>
  <si>
    <t>When|Allied-Card|Keyword&amp;Fuse||If|{Cards|Trait:8-FuseCards}&gt;0||Countdown-1|ThisCard</t>
  </si>
  <si>
    <t>LastWords||AddToHand|1120102|1</t>
  </si>
  <si>
    <t>空绝的残光</t>
  </si>
  <si>
    <t>Play||SplitDamage|Enemy-Follower&amp;Leader|4</t>
  </si>
  <si>
    <t>黄金项链</t>
  </si>
  <si>
    <t>Play||+0/+1|Select&amp;1-Allied-Field-Follower||Give|It|{Ward}</t>
  </si>
  <si>
    <t>黄金之杯</t>
  </si>
  <si>
    <t>Play||Restore|Allied-Leader|2</t>
  </si>
  <si>
    <t>黄金之靴</t>
  </si>
  <si>
    <t>Play||+1/+0|Select&amp;1-Allied-Field-Follower||Give|It|{Rush}</t>
  </si>
  <si>
    <t>黄金短剑</t>
  </si>
  <si>
    <t>Play||Damage|Select&amp;1-Enemy-Follower&amp;Leader|1</t>
  </si>
  <si>
    <t>Fanfare||Crest&amp;8|{When|Allied-Trait:8-Card|Play||Countdown-1|ThisCard}|{When|Allied-Card|Keyword&amp;Fuse||If|{Cards|Trait:8-FuseCards}&gt;0||Countdown-1|ThisCard}|{LastWords||AddToHand|1120102|1}</t>
  </si>
  <si>
    <t>Evolve||AddToHand|1120405|1</t>
  </si>
  <si>
    <t>Evolve||AddToHand|1120401|1</t>
  </si>
  <si>
    <t>Fuse|Trait:8-Card</t>
  </si>
  <si>
    <t>Fanfare||Damage|Enemy-Follower&amp;Leader|X||X=Fuse&amp;Types</t>
  </si>
  <si>
    <t>Play||AddToHand|1120405|1</t>
  </si>
  <si>
    <t>Play||If|{Fuse&amp;Cards}&gt;0||Draw|1</t>
  </si>
  <si>
    <t>Fanfare||AddToHand|1120402|1</t>
  </si>
  <si>
    <t>Fanfare||AddToHand|1120403|1</t>
  </si>
  <si>
    <t>When|Allied-Trait:8-Card|Play||Damage|Random&amp;1-Enemy-Follower|3</t>
  </si>
  <si>
    <t>When|Allied-Card|Keyword&amp;Fuse||If|{Cards|Trait:8-FuseCards}&gt;0||Damage|Random&amp;1-Enemy-Follower|3</t>
  </si>
  <si>
    <t>Evolve||PP|1</t>
  </si>
  <si>
    <t>Engage&amp;0||Mode&amp;1|{AddToHand|1120405|1||AddToHand|1120401|1}|{AddToHand|1120402|1||AddToHand|1120403|1}</t>
  </si>
  <si>
    <t>Fanfare||SearchSummon|Random&amp;1-Swordcraft-Cost&lt;4-Follower</t>
  </si>
  <si>
    <t>Evolve||+2/+2|Select&amp;1-Allied-Field-Other-Follower</t>
  </si>
  <si>
    <t>Fanfare||AddToHand|1120401|1</t>
  </si>
  <si>
    <t>LastWords||AddToHand|1120405|1</t>
  </si>
  <si>
    <t>LastWords||AddToHand|1120402|1</t>
  </si>
  <si>
    <t>Play||Give|Select&amp;1-Allied-Field-Follower|{Ward}</t>
  </si>
  <si>
    <t>Play||Damage|Random&amp;1-Enemy-Follower|4</t>
  </si>
  <si>
    <t>LastWords||Summon|1121403|1||Remove|LastWords|It</t>
  </si>
  <si>
    <t>绝尽的伪证</t>
  </si>
  <si>
    <t>Play||Cost+1|Allied-Hand-Follower</t>
  </si>
  <si>
    <t>Play||Destroy|Enemy-Follower</t>
  </si>
  <si>
    <t>纹章:水晶的指引</t>
  </si>
  <si>
    <t>LastWords||Draw|2</t>
  </si>
  <si>
    <t>LastWords||Damage|Enemy-Follower|4</t>
  </si>
  <si>
    <t>Fanfare||Draw|1</t>
  </si>
  <si>
    <t>Evolve||Banish|Select&amp;1-Enemy-Field-Follower||Change|SuperEvolve||Banish|Select&amp;1-Enemy-Field-SameName&amp;Select-Follower</t>
  </si>
  <si>
    <t>Fanfare||Cost-3|Allied-Deck-Follower</t>
  </si>
  <si>
    <t>Fanfare||Transform|Random&amp;1-Allied-Hand-Spell|1130101||Turn-End-Until|Cost$0|It</t>
  </si>
  <si>
    <t>Play||Cost+1|Select&amp;1-Allied-Hand-Follower</t>
  </si>
  <si>
    <t>Play||Destroy|Random&amp;1-Enemy-Follower</t>
  </si>
  <si>
    <t>Fanfare||If|{Cost|ThisCard}&lt;&gt;3||CopySummon|ThisCard||CopySummon|ThisCard</t>
  </si>
  <si>
    <t>SuperEvolve||CopySummon|ThisCard</t>
  </si>
  <si>
    <t>When|Allied-OrigCost&lt;&gt;Cost-Follower|Play||Draw|1</t>
  </si>
  <si>
    <t>When|Allied-OrigCost&lt;&gt;Cost-Follower|Play||Countdown-1|ThisCard</t>
  </si>
  <si>
    <t>Engage&amp;0||Cost+1|Select&amp;1-Allied-Hand-Follower||+1/+1|It</t>
  </si>
  <si>
    <t>Play||Summon|1030404|1</t>
  </si>
  <si>
    <t>Fanfare||Damage|Other-Follower|3</t>
  </si>
  <si>
    <t>Fanfare||If|{Cost|ThisCard}&lt;&gt;5||Draw|2</t>
  </si>
  <si>
    <t>Fanfare||If|{Cost|ThisCard}&lt;&gt;2||Restore|Allied-Leader|3</t>
  </si>
  <si>
    <t>Fanfare||Summon|1230401|1</t>
  </si>
  <si>
    <t>Play||Crest&amp;2|{LastWords||Draw|2}|{LastWords||Damage|Enemy-Follower|4}</t>
  </si>
  <si>
    <t>纹章:烈绝的显现·嘉尔缪</t>
  </si>
  <si>
    <t>When|Allied-Follower|Damaged||If|Allied-Turn|TimesPerTurn&amp;1||AddToHand|1140102|1</t>
  </si>
  <si>
    <t>烈绝的灭牙</t>
  </si>
  <si>
    <t>Play||Damage|Follower|1</t>
  </si>
  <si>
    <t>Fanfare||Repeat&amp;3|Damage|Follower|2</t>
  </si>
  <si>
    <t>When|ThisCard|Damaged||If|Allied-Turn||Damage|Enemy-Leader|1</t>
  </si>
  <si>
    <t>SuperEvolve||Restore|ThisCard|X||X=Damaged|ThisCard</t>
  </si>
  <si>
    <t>SuperEvolve||Repeat&amp;3|Damage|Follower|2</t>
  </si>
  <si>
    <t>Fanfare||Crest&amp;0|{When|Allied-Follower|Damaged||If|Allied-Turn|TimesPerTurn&amp;1||AddToHand|1140102|1}</t>
  </si>
  <si>
    <t>Enhance&amp;7||Give|ThisCard|{Storm}</t>
  </si>
  <si>
    <t>When|ThisCard|Damaged||If|Allied-Turn|TimesPerTurn&amp;1||Damage|Random&amp;1-Enemy-Follower|3</t>
  </si>
  <si>
    <t>Play||Damage|Select&amp;1-Allied-Follower|1</t>
  </si>
  <si>
    <t>Play||Damage|Random&amp;1-Enemy-Follower|3</t>
  </si>
  <si>
    <t>Play||If|Overflow||Search|Random&amp;1-Dragoncraft-Follower</t>
  </si>
  <si>
    <t>Fanfare||Damage|Follower|3</t>
  </si>
  <si>
    <t>When|Allied-Turn-End||If|{Defense|ThisCard}&lt;4||+1/+1|Allied-Hand-Dragoncraft-Follower</t>
  </si>
  <si>
    <t>Engage&amp;1||Damage|Follower|1</t>
  </si>
  <si>
    <t>Fanfare||Summon|1340401|1||Change|If|Overflow||Summon|1340401|2</t>
  </si>
  <si>
    <t>When|Allied-Trait:13-Follower|EnterField||Give|It|{Ward}</t>
  </si>
  <si>
    <t>When|Allied-Turn-End||Restore|ThisCard|X||Restore|Allied-Leader|X||X=Damaged|ThisCard</t>
  </si>
  <si>
    <t>When|ThisCard|Damaged||If|Allied-Turn||Search|Random&amp;1-Dragoncraft-Follower</t>
  </si>
  <si>
    <t>Play||Damage|Defense$Highest-Follower|5</t>
  </si>
  <si>
    <t>Play||If|Overflow||Damage|Defense$Highest-Leader|3</t>
  </si>
  <si>
    <t>Fanfare||Destroy|Enemy-Damaged-Follower</t>
  </si>
  <si>
    <t>信仰:混融的继承者·莎木·纳克雅</t>
  </si>
  <si>
    <t>When|Allied-Field&amp;Hand&amp;Deck-Card|Keyword&amp;Mode||NamingCount|Faith|1</t>
  </si>
  <si>
    <t>绝叫的扩散</t>
  </si>
  <si>
    <t>Play||Summon|绝叫与爱绝的显现·鲁鲁纳伊&amp;巴娜蕾卡|2||Give|It|{Rush}</t>
  </si>
  <si>
    <t>爱绝的飞翔</t>
  </si>
  <si>
    <t>Play||Give|Select&amp;1-Allied-Field-SameName&amp;绝叫与爱绝的显现·鲁鲁纳伊&amp;巴娜蕾卡-Card|{Storm}</t>
  </si>
  <si>
    <t>Fanfare||Mode&amp;1|{AddToHand|1150102|1}|{AddToHand|1150103|1}</t>
  </si>
  <si>
    <t>Faith||0|{When|Allied-Field&amp;Hand&amp;Deck-Card|Keyword&amp;Mode||NamingCount|Faith|1}</t>
  </si>
  <si>
    <t>Fanfare||If|{NamingCount&amp;Faith}&gt;9||NamingCount|Faith|-10||Give|Random&amp;1-Allied-Field-Faith|{IncreaseModes}</t>
  </si>
  <si>
    <t>SuperEvolve||Destroy|Select&amp;1-Enemy-Follower||SameNameToHand|It</t>
  </si>
  <si>
    <t>Play||Mode&amp;2|{PP|1}|{Search|Random&amp;1-Follower}|{Search|Random&amp;1-Cost=3-Spell}|{Damage|Random&amp;1-Enemy-Follower|4}</t>
  </si>
  <si>
    <t>Fanfare||Mode&amp;1|{Summon|1151202|1||Give|It|{Rush}||Give|ThisCard|{Rush}}|{Summon|1151202|1||Give|It|{Ward}||Give|ThisCard|{Ward}}|{+2/+2|Allied-Field-SameName&amp;1151202-Follower}</t>
  </si>
  <si>
    <t>Enhance&amp;7||Reanimate|5</t>
  </si>
  <si>
    <t>Enhance&amp;7||Reanimate|3</t>
  </si>
  <si>
    <t>Fanfare||Mode&amp;1|{Draw|1}|{+1/+1|Random&amp;1-Allied-Field-Follower}</t>
  </si>
  <si>
    <t>Engage&amp;1||Destroy|ThisCard</t>
  </si>
  <si>
    <t>Engage&amp;1||Replicate|Fanfare</t>
  </si>
  <si>
    <t>Fanfare||Mode&amp;1|{Damage|Random&amp;1-Enemy-Follower|3}|{Restore|Allied-Leader|2}</t>
  </si>
  <si>
    <t>Fanfare||Mode&amp;1|{Damage|Enemy-Follower|1}|{+2/+2|ThisCard}</t>
  </si>
  <si>
    <t>Play||Damage|Random&amp;2-Enemy-Follower|2</t>
  </si>
  <si>
    <t>Play||Damage|Enemy-Leader|2</t>
  </si>
  <si>
    <t>Fanfare||Destroy|Select&amp;2-Enemy-Follower</t>
  </si>
  <si>
    <t>Fanfare||Damage|Allied-Leader|4</t>
  </si>
  <si>
    <t>纹章:飓风天业·格里姆尼尔</t>
  </si>
  <si>
    <t>When|Allied-Turn-End||If|{Cards|Allied-Field-SuperEvolved-Follower}&gt;0||Damage|Enemy-Follower|2</t>
  </si>
  <si>
    <t>绝望的奔流</t>
  </si>
  <si>
    <t>Play||Banish|Random&amp;1-Enemy-Field-Follower</t>
  </si>
  <si>
    <t>Play||Countdown+1|Allied-Crest</t>
  </si>
  <si>
    <t>纹章:绝望的显现·玛温</t>
  </si>
  <si>
    <t>When|Allied-Turn-End||If|{ThisTurn-Strike-Times|Allied-Follower}=0||SplitDamage|Enemy-Follower&amp;Leader|X||X=Cards|Allied-Field-Crest</t>
  </si>
  <si>
    <t>纹章:安息的继承者·妃花</t>
  </si>
  <si>
    <t>纹章:安息的团结者</t>
  </si>
  <si>
    <t>When|Allied-Turn-End||If|{ThisTurn-Strike-Times|Allied-Follower}=0||Search|Random&amp;1-Defense=4-Follower</t>
  </si>
  <si>
    <t>纹章:安息的祈祷者</t>
  </si>
  <si>
    <t>When|Allied-Turn-End||If|{ThisTurn-Strike-Times|Allied-Follower}=0||Restore|Allied-Leader|1</t>
  </si>
  <si>
    <t>纹章:安息的肯定者</t>
  </si>
  <si>
    <t>When|Allied-Turn-End||If|{ThisTurn-Strike-Times|Allied-Follower}=0||-2/+0|Random&amp;1-Allied-Field-Follower||Give|It|{Ward}</t>
  </si>
  <si>
    <t>Fanfare||AddToHand|1160102|1</t>
  </si>
  <si>
    <t>Evolve||Crest&amp;0|{When|Allied-Turn-End||If|{ThisTurn-Strike-Times|Allied-Follower}=0||SplitDamage|Enemy-Follower&amp;Leader|X}||X=Cards|Allied-Field-Crest</t>
  </si>
  <si>
    <t>LastWords||SplitDamage|Enemy-Follower&amp;Leader|4</t>
  </si>
  <si>
    <t>LastWords||Restore|Allied-Leader|4</t>
  </si>
  <si>
    <t>Engage&amp;0||Countdown-X|ThisCard||X=Cards|Allied-Field-Crest</t>
  </si>
  <si>
    <t>Fanfare||Destroy|Select&amp;1-Enemy-Follower</t>
  </si>
  <si>
    <t>Evolve||Crest&amp;4|{When|Allied-Turn-End||If|{ThisTurn-Strike-Times|Allied-Follower}=0||Search|Random&amp;1-Defense=4-Follower}</t>
  </si>
  <si>
    <t>LastWords||Restore|Allied-Leader|2</t>
  </si>
  <si>
    <t>LastWords||Give|Allied-Field-Leader|{Barrier}</t>
  </si>
  <si>
    <t>Fanfare||Crest&amp;4|{When|Allied-Turn-End||If|{ThisTurn-Strike-Times|Allied-Follower}=0||Restore|Allied-Leader|1}</t>
  </si>
  <si>
    <t>Fanfare||Crest&amp;4|{When|Allied-Turn-End||If|{ThisTurn-Strike-Times|Allied-Follower}=0||-2/+0|Random&amp;1-Allied-Field-Follower||Give|It|{Ward}}</t>
  </si>
  <si>
    <t>Play||Damage|Enemy-Follower|3</t>
  </si>
  <si>
    <t>Enhance&amp;8||Draw|3</t>
  </si>
  <si>
    <t>Enhance&amp;8||Restore|Allied-Leader|3</t>
  </si>
  <si>
    <t>When|ThisCard|Increased||Restore|Allied-Leader|1</t>
  </si>
  <si>
    <t>奏绝的独唱</t>
  </si>
  <si>
    <t>Play||Destroy|Select&amp;1-Allied-Card</t>
  </si>
  <si>
    <t>LastWords||Restore|Allied-Leader|1</t>
  </si>
  <si>
    <t>LastWords||Summon|1170104|1</t>
  </si>
  <si>
    <t>新约·黑之章</t>
  </si>
  <si>
    <t>LastWords||Damage|Enemy-Leader|1</t>
  </si>
  <si>
    <t>LastWords||Summon|1170102|1</t>
  </si>
  <si>
    <t>SuperEvolve||Damage|Enemy-Leader|X||X=Cards|Allied-Field-Other-Card</t>
  </si>
  <si>
    <t>SuperEvolve||Destroy|Allied-Other-Card</t>
  </si>
  <si>
    <t>Fanfare||AddToHand|1170101|1</t>
  </si>
  <si>
    <t>Evolve||Summon|1170102|1</t>
  </si>
  <si>
    <t>Fanfare||Destroy|Random&amp;X-Enemy-Follower||X=Cards|Allied-Field-Other-Card</t>
  </si>
  <si>
    <t>Fanfare||Destroy|Allied-Other-Card</t>
  </si>
  <si>
    <t>Play||Summon|1170102|1</t>
  </si>
  <si>
    <t>Fanfare||Destroy|Select&amp;1-Allied-Other-Card||Damage|Random&amp;1-Enemy-Follower|2</t>
  </si>
  <si>
    <t>Fanfare||Draw|3</t>
  </si>
  <si>
    <t>Fanfare||Destroy|Select&amp;1-Allied-Other-Card||Draw|2</t>
  </si>
  <si>
    <t>Play||AddToHand|1070405|2</t>
  </si>
  <si>
    <t>Fanfare||+X/+X|ThisCard||X=Cards|Allied-Field-Other-Card</t>
  </si>
  <si>
    <t>Fanfare||Summon|1070201|1</t>
  </si>
  <si>
    <t>Evolve||+3/+3|Select&amp;1-Allied-Field-Other-Trait:7-Follower</t>
  </si>
  <si>
    <t>传说揭幕</t>
  </si>
  <si>
    <t>Fanfare||Damage|Select&amp;2-Enemy-Follower|6</t>
  </si>
  <si>
    <t>Fanfare||Damage|Enemy-Leader|6</t>
  </si>
  <si>
    <t>Play||Damage|Enemy-Leader|X||X=Difference|Enemy-LeaderDefense|1</t>
  </si>
  <si>
    <t>哥布林</t>
  </si>
  <si>
    <t>Fanfare||Restore|Allied-Leader|2</t>
  </si>
  <si>
    <t>Fanfare||PP|2</t>
  </si>
  <si>
    <t>SuperEvolve||SuperEvolve|Select&amp;1-Allied-Other-UnEvolved-Follower</t>
  </si>
  <si>
    <t>Fanfare||ReplaceDeck|Deck:1</t>
  </si>
  <si>
    <t>Evolve||Destroy|Select&amp;1-Enemy-Follower</t>
  </si>
  <si>
    <t>神之雷霆</t>
  </si>
  <si>
    <t>Play||Destroy|Random&amp;1-Enemy-Attack$Highest-Follower</t>
  </si>
  <si>
    <t>Play||Damage|Enemy-Follower|1</t>
  </si>
  <si>
    <t>迸发的光明·阿波罗</t>
  </si>
  <si>
    <t>Fanfare||Damage|Enemy-Follower|1</t>
  </si>
  <si>
    <t>炽天使的福音</t>
  </si>
  <si>
    <t>贪婪的智天使·露比</t>
  </si>
  <si>
    <t>Fanfare||ReturnToDeck|Select&amp;1-Allied-Card</t>
  </si>
  <si>
    <t>观察的侦探</t>
  </si>
  <si>
    <t>LastWords||AddToHand|1401401|1</t>
  </si>
  <si>
    <t>哥布林的偷袭</t>
  </si>
  <si>
    <t>Play||Summon|1200401|5</t>
  </si>
  <si>
    <t>纹章:自然妖精公主·阿丽雅</t>
  </si>
  <si>
    <t>When|Allied-Trait:1-Follower|EnterField||Give|It|{Storm}</t>
  </si>
  <si>
    <t>蔷薇之闪击</t>
  </si>
  <si>
    <t>Play||Damage|Select&amp;1-Enemy-Follower&amp;Leader|3</t>
  </si>
  <si>
    <t>森林的奥秘</t>
  </si>
  <si>
    <t>Play||Restore|Allied-Leader|1</t>
  </si>
  <si>
    <t>丰丽的玫瑰皇后</t>
  </si>
  <si>
    <t>Fanfare||Transform|Allied-Hand-Forestcraft-Cost&lt;2-Card|1210102</t>
  </si>
  <si>
    <t>起源剑师·阿玛兹</t>
  </si>
  <si>
    <t>Fanfare||+X/+X|ThisCard||X=Cards|Allied-Hand-Trait:1-Follower</t>
  </si>
  <si>
    <t>Evolve||Repeat&amp;X|Damage|Random&amp;1-Enemy-Follower|1||X=Cards|Allied-Hand-Trait:1-Follower</t>
  </si>
  <si>
    <t>自然妖精公主·阿丽雅</t>
  </si>
  <si>
    <t>Fanfare||Crest&amp;0|{When|Allied-Trait:1-Follower|EnterField||Give|It|{Storm}}</t>
  </si>
  <si>
    <t>SuperEvolve||Summon|1010402|3</t>
  </si>
  <si>
    <t>屠戮破魔虫</t>
  </si>
  <si>
    <t>Fanfare||+X/+0|ThisCard||X=NamingCount&amp;Combo</t>
  </si>
  <si>
    <t>纯洁冰晶·莉莉</t>
  </si>
  <si>
    <t>Fanfare||If|Combo&amp;3||+0/$1|Select&amp;1-Enemy-Field-Follower</t>
  </si>
  <si>
    <t>Evolve||Draw|1</t>
  </si>
  <si>
    <t>Evolve||Damage|Select&amp;1-Enemy-Follower|1</t>
  </si>
  <si>
    <t>圣树法杖</t>
  </si>
  <si>
    <t>When|Allied-Turn-End||If|Combo&amp;3||Draw|1</t>
  </si>
  <si>
    <t>Engage&amp;0||ReturnToHand|Select&amp;1-Allied-Other-Card</t>
  </si>
  <si>
    <t>薰交的天宫·巴克伍德</t>
  </si>
  <si>
    <t>Evolve||SplitDamage|Enemy-Follower|X||X=Cards|Allied-Hand-Card</t>
  </si>
  <si>
    <t>煌击战士·贝鲁</t>
  </si>
  <si>
    <t>ActivateInHand-When|Allied-Follower|LeaveField||Cost-1|ThisCard</t>
  </si>
  <si>
    <t>Fanfare||Damage|Select&amp;1-Enemy-Follower|4</t>
  </si>
  <si>
    <t>纯真的水之妖精</t>
  </si>
  <si>
    <t>年幼宝石兽</t>
  </si>
  <si>
    <t>Fanfare||ReturnToHand|Select&amp;1-Allied-Other-Card</t>
  </si>
  <si>
    <t>SuperEvolve||PP|3</t>
  </si>
  <si>
    <t>磷光辉岩</t>
  </si>
  <si>
    <t>Fanfare||If|Combo&amp;3||AddToHand|1210402|1</t>
  </si>
  <si>
    <t>Engage&amp;0||+1/+1|Select&amp;1-Allied-Field-Follower</t>
  </si>
  <si>
    <t>霜寒冰晶·艾琳</t>
  </si>
  <si>
    <t>薰交的思慕</t>
  </si>
  <si>
    <t>Play||AddToHand|1210402|1</t>
  </si>
  <si>
    <t>Play||Draw|1</t>
  </si>
  <si>
    <t>舞动的妖精</t>
  </si>
  <si>
    <t>Fanfare||If|Combo&amp;3||+1/+1|Allied-Field-Other-Follower</t>
  </si>
  <si>
    <t>恋触妖精</t>
  </si>
  <si>
    <t>Fanfare||Summon|1010402|1</t>
  </si>
  <si>
    <t>勤劳的蚂蚱</t>
  </si>
  <si>
    <t>Fanfare||Search|Random&amp;1-Cost=X-Follower||X=NamingCount&amp;Combo</t>
  </si>
  <si>
    <t>言传的杂草人长老</t>
  </si>
  <si>
    <t>Fanfare||Damage|Random&amp;1-Enemy-Follower|3||Change|If|Combo&amp;3||Damage|Random&amp;3-Enemy-Follower|3</t>
  </si>
  <si>
    <t>深奥的妖精守护圣兽</t>
  </si>
  <si>
    <t>Fanfare||Restore|Allied-Leader|X||X=Cards|Allied-Hand-Card</t>
  </si>
  <si>
    <t>纹章:常在战场·景光</t>
  </si>
  <si>
    <t>LastWords||Summon|1221102|1</t>
  </si>
  <si>
    <t>铁甲骑士</t>
  </si>
  <si>
    <t>Enhance&amp;9||Damage|Enemy-Follower|3</t>
  </si>
  <si>
    <t>Enhance&amp;9||Give|ThisCard|{CanAttackTimes&amp;2}</t>
  </si>
  <si>
    <t>常在战场·景光</t>
  </si>
  <si>
    <t>LastWords||Crest&amp;2|{LastWords||Summon|1221102|1}</t>
  </si>
  <si>
    <t>SuperEvolve||Give|ThisCard|{Storm}</t>
  </si>
  <si>
    <t>白银骑士团团长·艾蜜莉亚</t>
  </si>
  <si>
    <t>Fanfare||Search|Random&amp;2-Swordcraft-Follower</t>
  </si>
  <si>
    <t>Fanfare||PP|3</t>
  </si>
  <si>
    <t>SuperEvolve||Give|Allied-Field-Other-Swordcraft-Follower|{Barrier}</t>
  </si>
  <si>
    <t>Evolve||Summon|1020401|2</t>
  </si>
  <si>
    <t>Evolve||+1/+1|Allied-Field-Other-Follower</t>
  </si>
  <si>
    <t>Fanfare||Damage|Select&amp;1-Enemy-Follower|5</t>
  </si>
  <si>
    <t>Enhance&amp;6||+2/+2|ThisCard</t>
  </si>
  <si>
    <t>Enhance&amp;6||Give|ThisCard|{Ambush}</t>
  </si>
  <si>
    <t>煌刃勇者·阿玛利亚</t>
  </si>
  <si>
    <t>Fanfare||Summon|1220402|4</t>
  </si>
  <si>
    <t>When|Allied-Other-Follower|EnterField||+1/+0|It||Give|It|{Rush}||Give|It|{Ward}</t>
  </si>
  <si>
    <t>Play||Damage|Select&amp;1-Enemy-Follower&amp;Leader|5</t>
  </si>
  <si>
    <t>Play||Restore|Allied-Leader|5</t>
  </si>
  <si>
    <t>雷维翁之斧·杰诺</t>
  </si>
  <si>
    <t>CanAttackTimes&amp;2</t>
  </si>
  <si>
    <t>Strike||Give|ThisCard|{Barrier}</t>
  </si>
  <si>
    <t>Strike||Summon|1020401|1</t>
  </si>
  <si>
    <t>统率的鲁米那斯骑士</t>
  </si>
  <si>
    <t>When|Allied-Trait:2-Follower|EnterField||Turn-End-Until|+1/+0|ThisCard</t>
  </si>
  <si>
    <t>Evolve||Summon|1020401|1</t>
  </si>
  <si>
    <t>Fanfare||Summon|1020401|1</t>
  </si>
  <si>
    <t>When|Allied-Trait:2-Follower|EnterField||Give|It|{Rush}</t>
  </si>
  <si>
    <t>忍者鼯鼠</t>
  </si>
  <si>
    <t>Evolve||Summon|1221303|1</t>
  </si>
  <si>
    <t>卓越的鲁米那斯法师</t>
  </si>
  <si>
    <t>Fanfare||Summon|1220402|3</t>
  </si>
  <si>
    <t>When|Allied-Trait:2-Follower|EnterField||Give|It|{Ward}</t>
  </si>
  <si>
    <t>王断的威光</t>
  </si>
  <si>
    <t>Play||Mode&amp;1|{Summon|1220402|1||Summon|1020401|1}|{+1/+1|Allied-Field-Follower}</t>
  </si>
  <si>
    <t>爱之骑士·尹安</t>
  </si>
  <si>
    <t>异端武士</t>
  </si>
  <si>
    <t>Fanfare||If|Unlock-SuperEvolve||Give|ThisCard|{Bane}</t>
  </si>
  <si>
    <t>救援的鲁米那斯治疗师·莉拉拉</t>
  </si>
  <si>
    <t>Fanfare||Summon|1220402|1</t>
  </si>
  <si>
    <t>When|Allied-Trait:2-Follower|EnterField||Restore|Allied-Leader|1</t>
  </si>
  <si>
    <t>军犬</t>
  </si>
  <si>
    <t>Enhance&amp;6||Summon|1221404|2</t>
  </si>
  <si>
    <t>剑士的斩击</t>
  </si>
  <si>
    <t>Play||Summon|1220402|1</t>
  </si>
  <si>
    <t>和平商人·艾尔涅丝塔</t>
  </si>
  <si>
    <t>Fanfare||+1/+1|Allied-Field-Other-Follower</t>
  </si>
  <si>
    <t>纹章:玛纳利亚密友·安&amp;古蕾雅</t>
  </si>
  <si>
    <t>安的巨大英灵</t>
  </si>
  <si>
    <t>式神·天后</t>
  </si>
  <si>
    <t>LastWords||Spellboost|Hand-Card|3</t>
  </si>
  <si>
    <t>有所成长了！</t>
  </si>
  <si>
    <t>纹章:黎明炼金术师·诺诺</t>
  </si>
  <si>
    <t>When|Allied-Turn-End||If|EarthRite&amp;1||Summon|1030404|1</t>
  </si>
  <si>
    <t>式神·小纸人</t>
  </si>
  <si>
    <t>LastWords||Spellboost|Hand-Card|1</t>
  </si>
  <si>
    <t>式神·暴鬼</t>
  </si>
  <si>
    <t>Fanfare||Summon|1230103|1</t>
  </si>
  <si>
    <t>Fanfare||Summon|1230403|1</t>
  </si>
  <si>
    <t>Enhance&amp;10||Destroy|Allied-Trait:12-Follower</t>
  </si>
  <si>
    <t>Enhance&amp;10||Summon|1230104|1</t>
  </si>
  <si>
    <t>SuperEvolve||Give|Select&amp;1-Allied-Field-Trait:12-Follower|{Storm}</t>
  </si>
  <si>
    <t>Fanfare||Summon|1230102|1</t>
  </si>
  <si>
    <t>Fanfare||Spellboost|Hand-Card|3</t>
  </si>
  <si>
    <t>Evolve||Damage|Select&amp;1-Enemy-Follower|3</t>
  </si>
  <si>
    <t>Spellboost|Cost-1</t>
  </si>
  <si>
    <t>Play||ReturnToDeck|Allied-Card</t>
  </si>
  <si>
    <t>Play||Draw|5</t>
  </si>
  <si>
    <t>Play||Spellboost|Hand-Card|5</t>
  </si>
  <si>
    <t>Play||PP|10</t>
  </si>
  <si>
    <t>Spellboost|X=0</t>
  </si>
  <si>
    <t>ActivateInHand-When|ThisCard|Spellboost||If|{Spellboost}&gt;4||Transform|ThisCard|1230201</t>
  </si>
  <si>
    <t>Fanfare||If|EarthRite&amp;2||Evolve|ThisCard</t>
  </si>
  <si>
    <t>When|ThisCard|Evolve||Damage|Random&amp;1-Enemy-Follower|4</t>
  </si>
  <si>
    <t>When|ThisCard|Evolve||PP|2</t>
  </si>
  <si>
    <t>魔法药剂师·佩内洛普</t>
  </si>
  <si>
    <t>Fanfare||EarthSigil|2</t>
  </si>
  <si>
    <t>SuperEvolve||Draw|2</t>
  </si>
  <si>
    <t>SuperEvolve||Restore|Allied-Leader|2</t>
  </si>
  <si>
    <t>SuperEvolve||EarthSigil|2</t>
  </si>
  <si>
    <t>Play||Summon|1230403|1</t>
  </si>
  <si>
    <t>黎明炼金术师·诺诺</t>
  </si>
  <si>
    <t>Fanfare||Damage|Select&amp;1-Enemy-Follower|X||X=EarthSigil</t>
  </si>
  <si>
    <t>Evolve||Crest&amp;3|{When|Allied-Turn-End||If|EarthRite&amp;1||Summon|1030404|1}</t>
  </si>
  <si>
    <t>Play||Mode&amp;1|{EarthSigil|4}|{Restore|Allied-Leader|4}|{If|EarthRite&amp;3||Damage|Enemy-Follower|4}</t>
  </si>
  <si>
    <t>惹人怜爱的教师·米兰</t>
  </si>
  <si>
    <t>Fanfare||Spellboost|Hand-Card|1</t>
  </si>
  <si>
    <t>Evolve||Spellboost|Hand-Card|1</t>
  </si>
  <si>
    <t>奇迹女巫·爱蜜儿</t>
  </si>
  <si>
    <t>Evolve||Summon|1030403|1</t>
  </si>
  <si>
    <t>Evolve||Damage|Enemy-Follower|X||X=Cards|Allied-Field-Trait:4-Follower</t>
  </si>
  <si>
    <t>玛纳利亚的学生·威廉</t>
  </si>
  <si>
    <t>Fanfare||Damage|Enemy-Follower|X||X=Spellboost</t>
  </si>
  <si>
    <t>Evolve||Spellboost|Hand-Card|2</t>
  </si>
  <si>
    <t>见习占星术师</t>
  </si>
  <si>
    <t>Fanfare||EarthSigil|1</t>
  </si>
  <si>
    <t>Spellboost|X=2</t>
  </si>
  <si>
    <t>Play||Damage|Select&amp;1-Enemy-Follower|X||X=Spellboost</t>
  </si>
  <si>
    <t>追梦的企鹅魔法师</t>
  </si>
  <si>
    <t>唤枭士</t>
  </si>
  <si>
    <t>Evolve||Damage|Select&amp;1-Enemy-Follower|5</t>
  </si>
  <si>
    <t>彩虹奇迹</t>
  </si>
  <si>
    <t>Play||Spellboost|Select&amp;1-Hand-Keyword&amp;Spellboost-Card|1</t>
  </si>
  <si>
    <t>符文剑操控师</t>
  </si>
  <si>
    <t>Spellboost|+1/+1</t>
  </si>
  <si>
    <t>Fanfare||Damage|Select&amp;1-Enemy-Follower|X||X=Attack|ThisCard</t>
  </si>
  <si>
    <t>纹章:灼热的安纳提玛·班德奈特</t>
  </si>
  <si>
    <t>When|Allied-Turn-Start||Damage|Allied-Leader|1</t>
  </si>
  <si>
    <t>When|Allied-Leader|Restore||If|Allied-Turn|TimesPerTurn&amp;1||Damage|Allied-Leader|1</t>
  </si>
  <si>
    <t>霸道之金龙</t>
  </si>
  <si>
    <t>霸道之银龙</t>
  </si>
  <si>
    <t>乙姬近卫队</t>
  </si>
  <si>
    <t>炽炎幼龙</t>
  </si>
  <si>
    <t>霸道的龙翼·法露特</t>
  </si>
  <si>
    <t>龙人演义·卧龙</t>
  </si>
  <si>
    <t>Fanfare||Summon|1240102|1</t>
  </si>
  <si>
    <t>Fanfare||Summon|1240103|1</t>
  </si>
  <si>
    <t>SuperEvolve||Give|Allied-Field-SameName&amp;1240102-Follower|{Storm}</t>
  </si>
  <si>
    <t>SuperEvolve||Give|Allied-Field-SameName&amp;1240103-Follower|{Barrier}</t>
  </si>
  <si>
    <t>灼热的安纳提玛·班德奈特</t>
  </si>
  <si>
    <t>Fanfare||Discard|Select&amp;1-Allied-Card||Damage|Enemy-Follower|X||X=Cost|It</t>
  </si>
  <si>
    <t>SuperEvolve||Enemy-Crest&amp;0|{When|Allied-Turn-Start||Damage|Allied-Leader|1}|{When|Allied-Leader|Restore||If|Allied-Turn|TimesPerTurn&amp;1||Damage|Allied-Leader|1}</t>
  </si>
  <si>
    <t>乙姬的宝扇</t>
  </si>
  <si>
    <t>Engage&amp;3||Summon|1240201|1</t>
  </si>
  <si>
    <t>Engage&amp;3||Discard|Select&amp;1-Allied-Card</t>
  </si>
  <si>
    <t>荣弦的天宫·龙芙</t>
  </si>
  <si>
    <t>Fanfare||If|Overflow||Evolve|ThisCard</t>
  </si>
  <si>
    <t>When|ThisCard|Evolve||MaxPP|1</t>
  </si>
  <si>
    <t>惊涛龙骑士·扎哈尔</t>
  </si>
  <si>
    <t>Fanfare||Summon|1040402|1</t>
  </si>
  <si>
    <t>夜幕龙</t>
  </si>
  <si>
    <t>Fanfare||+0/-9|Enemy-Field-Follower</t>
  </si>
  <si>
    <t>SuperEvolve||Draw|3</t>
  </si>
  <si>
    <t>再临之创世龙</t>
  </si>
  <si>
    <t>御风者·叶花</t>
  </si>
  <si>
    <t>Fanfare||If|Overflow||Give|ThisCard|{Intimidate}</t>
  </si>
  <si>
    <t>读风者·杰鲁</t>
  </si>
  <si>
    <t>SuperEvolve||Give|Select&amp;1-Allied-Field-Other-Follower|{Storm}</t>
  </si>
  <si>
    <t>荣弦的奏乐</t>
  </si>
  <si>
    <t>Play||If|Overflow||Restore|Allied-Leader|2</t>
  </si>
  <si>
    <t>艳丽龙人·玛利翁</t>
  </si>
  <si>
    <t>Fanfare||+2/+2|Select&amp;1-Allied-Field-Other-Follower||Change|If|Overflow||+3/+3|Select&amp;1-Allied-Field-Other-Follower</t>
  </si>
  <si>
    <t>煌牙的义勇·基德</t>
  </si>
  <si>
    <t>ActivateInHand-When|ThisCard|Discard||+1/+0|Random&amp;1-Allied-Field-Follower</t>
  </si>
  <si>
    <t>初出茅庐的屠龙者</t>
  </si>
  <si>
    <t>育龙少女</t>
  </si>
  <si>
    <t>Fanfare||Summon|1240402|1</t>
  </si>
  <si>
    <t>白鳞的使者</t>
  </si>
  <si>
    <t>Fanfare||If|Overflow||Restore|Allied-Leader|4</t>
  </si>
  <si>
    <t>海沟大剑龙</t>
  </si>
  <si>
    <t>Fanfare||If|Overflow||Give|ThisCard|{Storm}</t>
  </si>
  <si>
    <t>灾祸吐息</t>
  </si>
  <si>
    <t>Play||Damage|Follower|5</t>
  </si>
  <si>
    <t>云海龙骑兵</t>
  </si>
  <si>
    <t>LastWords||Summon|1040402|1</t>
  </si>
  <si>
    <t>守卫犬的右腕·米米</t>
  </si>
  <si>
    <t>LastWords||Damage|Enemy-Leader|2</t>
  </si>
  <si>
    <t>守卫犬的左腕·可可</t>
  </si>
  <si>
    <t>纹章:地下赏金猎人·巴尔特</t>
  </si>
  <si>
    <t>When|Allied-Turn-End||Damage|Leader|1</t>
  </si>
  <si>
    <t>骸骨士兵</t>
  </si>
  <si>
    <t>无极猎人·阿拉加维</t>
  </si>
  <si>
    <t>Fanfare||SplitDamage|Enemy-Follower|7</t>
  </si>
  <si>
    <t>Evolve||Damage|Leader|3</t>
  </si>
  <si>
    <t>剧毒公主·美杜莎</t>
  </si>
  <si>
    <t>CanAttackTimes&amp;3</t>
  </si>
  <si>
    <t>Strike||Destroy|Opposing</t>
  </si>
  <si>
    <t>奔放的狱焰·凯尔贝洛斯</t>
  </si>
  <si>
    <t>Fanfare||Summon|1250101|1</t>
  </si>
  <si>
    <t>Fanfare||Summon|1250102|1</t>
  </si>
  <si>
    <t>Fanfare||If|Necromancy&amp;6||+2/+0|Allied-Field-Other-Follower</t>
  </si>
  <si>
    <t>SuperEvolve||Reanimate|1</t>
  </si>
  <si>
    <t>蛇神之怒</t>
  </si>
  <si>
    <t>Play||Damage|Allied-Leader|2</t>
  </si>
  <si>
    <t>地下赏金猎人·巴尔特</t>
  </si>
  <si>
    <t>Fanfare||Crest&amp;4|{When|Allied-Turn-End||Damage|Leader|1}</t>
  </si>
  <si>
    <t>蓝蔷薇千金·赛蕾丝</t>
  </si>
  <si>
    <t>When|Allied-Turn-End||Restore|Allied-Leader|2||Change|If|{Cards|SuperEvolved-ThisCard}&gt;0||Restore|Allied-Leader|4||Give|ThisCard|{Barrier}</t>
  </si>
  <si>
    <t>瞑地的天宫·穆甘</t>
  </si>
  <si>
    <t>Fanfare||If|Necromancy&amp;8||Evolve|ThisCard</t>
  </si>
  <si>
    <t>When|Allied-Trait:5-Follower|EnterField||Give|It|{Bane}</t>
  </si>
  <si>
    <t>When|ThisCard|Evolve||Summon|1050403|1</t>
  </si>
  <si>
    <t>燃烧魔剑·欧特鲁斯</t>
  </si>
  <si>
    <t>Fanfare||NamingCount|Shadows|2</t>
  </si>
  <si>
    <t>Evolve||If|Necromancy&amp;4||Repeat&amp;2|Damage|Random&amp;1-Enemy-Follower|2</t>
  </si>
  <si>
    <t>干练的死神·蜜诺</t>
  </si>
  <si>
    <t>Enhance&amp;4||Give|ThisCard|{Rush}</t>
  </si>
  <si>
    <t>Enhance&amp;4||Give|ThisCard|{Bane}</t>
  </si>
  <si>
    <t>LastWords||AddToHand|1250402|1</t>
  </si>
  <si>
    <t>梦魇·维莉</t>
  </si>
  <si>
    <t>Fanfare||Damage|Allied-Leader|3</t>
  </si>
  <si>
    <t>Evolve||Restore|Allied-Leader|5</t>
  </si>
  <si>
    <t>怪奇探索者·尤娜</t>
  </si>
  <si>
    <t>LastWords||AddToHand|1050403|1</t>
  </si>
  <si>
    <t>LastWords||AddToHand|1050402|1</t>
  </si>
  <si>
    <t>穿刺公·弗拉德</t>
  </si>
  <si>
    <t>瞑地的陵园</t>
  </si>
  <si>
    <t>Engage&amp;0||Summon|1050403|2</t>
  </si>
  <si>
    <t>死神挥刀</t>
  </si>
  <si>
    <t>无名恶魔</t>
  </si>
  <si>
    <t>Evolve||Summon|1050402|2</t>
  </si>
  <si>
    <t>午夜眷属·埃拉尔</t>
  </si>
  <si>
    <t>Fanfare||Summon|1050402|1</t>
  </si>
  <si>
    <t>When|Allied-SameName&amp;1050402-Follower|EnterField||Give|It|{Storm}</t>
  </si>
  <si>
    <t>When|Allied-SameName&amp;1050402-Follower|EnterField||Damage|Allied-Leader|1</t>
  </si>
  <si>
    <t>白骨少女</t>
  </si>
  <si>
    <t>LastWords||Summon|1250402|2</t>
  </si>
  <si>
    <t>禁约恶魔</t>
  </si>
  <si>
    <t>Fanfare||Damage|Allied-Leader|2</t>
  </si>
  <si>
    <t>Evolve||Damage|Select&amp;1-Enemy-Follower|6</t>
  </si>
  <si>
    <t>杂耍亡灵</t>
  </si>
  <si>
    <t>Fanfare||Reanimate|4</t>
  </si>
  <si>
    <t>纹章:伟大的炽天使·勒碧丝</t>
  </si>
  <si>
    <t>LastWords||Summon|1261206|1||Give|It|{Storm}</t>
  </si>
  <si>
    <t>圣炎猛虎</t>
  </si>
  <si>
    <t>裁决的安纳提玛·罗德欧</t>
  </si>
  <si>
    <t>Fanfare||SearchSummon|Random@3-Cost&lt;4-Amulet</t>
  </si>
  <si>
    <t>SuperEvolve||Destroy|Random&amp;1-Enemy-Attack$Highest-Follower</t>
  </si>
  <si>
    <t>SuperEvolve||Damage|Enemy-Follower|1</t>
  </si>
  <si>
    <t>Fanfare||Restore|Allied-Leader|3</t>
  </si>
  <si>
    <t>Evolve||Damage|Enemy-Follower|3</t>
  </si>
  <si>
    <t>Fanfare||Damage|Enemy-Follower|6</t>
  </si>
  <si>
    <t>Fanfare||+2/+4|Allied-Field-Other-Follower</t>
  </si>
  <si>
    <t>Engage&amp;0||Destroy|Follower</t>
  </si>
  <si>
    <t>终焉的白骨圣堂之主</t>
  </si>
  <si>
    <t>Fanfare||Destroy|Allied-Amulet||Damage|Enemy-Follower&amp;Leader|X||X=Cards|It</t>
  </si>
  <si>
    <t>LastWords||Crest&amp;2|{LastWords||Summon|1261206|1||Give|It|{Storm}}</t>
  </si>
  <si>
    <t>煌枪魔兔·萨莉沙</t>
  </si>
  <si>
    <t>When|Allied-Keyword&amp;Ward-Follower|Destroy||+1/+1|ThisCard</t>
  </si>
  <si>
    <t>Evolve||Give|ThisCard|{Barrier}</t>
  </si>
  <si>
    <t>Engage&amp;1||+1/+1|Select&amp;1-Allied-Field-Follower</t>
  </si>
  <si>
    <t>Engage&amp;1||Restore|Allied-Leader|1</t>
  </si>
  <si>
    <t>神圣注射</t>
  </si>
  <si>
    <t>Engage&amp;0||Damage|Select&amp;1-Enemy-Follower|4</t>
  </si>
  <si>
    <t>Engage&amp;0||Restore|Allied-Leader|1</t>
  </si>
  <si>
    <t>煌翼羽人·莉诺</t>
  </si>
  <si>
    <t>Clash||Damage|Enemy-Leader|1</t>
  </si>
  <si>
    <t>SuperEvolve||Give|ThisCard|{CanAttackTimes&amp;2}</t>
  </si>
  <si>
    <t>When|Allied-Amulet|Engage||Turn-End-Until|+1/+0|ThisCard</t>
  </si>
  <si>
    <t>圣心光棱牧师</t>
  </si>
  <si>
    <t>Fanfare||Search|Random&amp;1-Amulet</t>
  </si>
  <si>
    <t>Evolve||Cost-1|Select&amp;1-Allied-Hand-Amulet</t>
  </si>
  <si>
    <t>圣盾祭司</t>
  </si>
  <si>
    <t>指明目标的光辉天使</t>
  </si>
  <si>
    <t>纹章:崭新的少女·欧丝</t>
  </si>
  <si>
    <t>When|Allied-Turn-End||If|{Cards|Allied-Hand-Card}&gt;5||Restore|Allied-Leader|1</t>
  </si>
  <si>
    <t>When|Allied-Turn-End||If|{Cards|Allied-Hand-Card}&lt;6||Draw|1</t>
  </si>
  <si>
    <t>洛伊德</t>
  </si>
  <si>
    <t>Evolve||Crest&amp;3|{When|Allied-Turn-End||If|{Cards|Allied-Hand-Card}&gt;5||Restore|Allied-Leader|1}|{When|Allied-Turn-End||If|{Cards|Allied-Hand-Card}&lt;6||Draw|1}</t>
  </si>
  <si>
    <t>迈进之心·奥契丝</t>
  </si>
  <si>
    <t>Fanfare||Summon|1270103|1</t>
  </si>
  <si>
    <t>When|Allied-Trait:6-Follower|EnterField||Give|It|{Storm}||Give|It|{Bane}</t>
  </si>
  <si>
    <t>SuperEvolve||Summon|1070402|2</t>
  </si>
  <si>
    <t>增幅加速·洛拉米亚</t>
  </si>
  <si>
    <t>Fanfare||CopySummon|Select&amp;3-Allied-Hand-Trait:7-Cost&lt;6-Follower</t>
  </si>
  <si>
    <t>SuperEvolve||+1/+1|Allied-Field-Trait:7-Follower</t>
  </si>
  <si>
    <t>决心之誓·米莉亚姆</t>
  </si>
  <si>
    <t>Fanfare||Mode&amp;1|{Draw|2}|{Restore|Allied-Leader|4}</t>
  </si>
  <si>
    <t>Evolve||Destroy|Select&amp;1-Enemy-Follower||Change|SuperEvolve||Destroy|Select&amp;2-Enemy-Follower</t>
  </si>
  <si>
    <t>改境的天宫·阿洛艾特</t>
  </si>
  <si>
    <t>Evolve||CopySummon|Select&amp;1-Allied-Hand-Trait:7-Cost&lt;6-Follower</t>
  </si>
  <si>
    <t>疯狂的创造者·历亚姆</t>
  </si>
  <si>
    <t>Fanfare||Summon|1070402|3</t>
  </si>
  <si>
    <t>Evolve||Give|Allied-Field-Trait:6-Follower|{Ward}||Give|It|{LastWords||Damage|Enemy-Leader|2}</t>
  </si>
  <si>
    <t>遗产的炮击</t>
  </si>
  <si>
    <t>When|Allied-Card|Keyword&amp;Fuse||Damage|Random&amp;1-Enemy-Follower|2</t>
  </si>
  <si>
    <t>Fanfare||AddToHand|1070405|1</t>
  </si>
  <si>
    <t>生命的奔流</t>
  </si>
  <si>
    <t>Play||Damage|Select&amp;1-Enemy-Follower|3</t>
  </si>
  <si>
    <t>抗争领袖·露琪娜</t>
  </si>
  <si>
    <t>Evolve||Summon|1070303|1</t>
  </si>
  <si>
    <t>改境的重启</t>
  </si>
  <si>
    <t>Play||CopySummon|Select&amp;2-Allied-Hand-Trait:7-Cost&lt;6-Follower||Give|It|{When|Enemy-Turn-End||Destroy|ThisCard}</t>
  </si>
  <si>
    <t>杀意之丝·诺亚</t>
  </si>
  <si>
    <t>Fanfare||AddToHand|1070405|3</t>
  </si>
  <si>
    <t>Fanfare||+1/+0|Allied-Hand-Trait:6-Follower</t>
  </si>
  <si>
    <t>耀眼的发明家·伊莉斯</t>
  </si>
  <si>
    <t>LastWords||AddToHand|1070403|1</t>
  </si>
  <si>
    <t>创造物充能</t>
  </si>
  <si>
    <t>永不停火的枪手</t>
  </si>
  <si>
    <t>人偶替身</t>
  </si>
  <si>
    <t>Play||Summon|1070402|2</t>
  </si>
  <si>
    <t>钢铁佣兵·迪尔克</t>
  </si>
  <si>
    <t>Fanfare||Summon|1070301|1</t>
  </si>
  <si>
    <t>自动机械刺客</t>
  </si>
  <si>
    <t>Fanfare||AddToHand|1070402|1</t>
  </si>
  <si>
    <t>When|Allied-Trait:6-Follower|EnterField||If|Allied-Turn|TimesPerTurn&amp;1||Give|It|{Bane}</t>
  </si>
  <si>
    <t>无限进化</t>
  </si>
  <si>
    <t>Fanfare||Banish|Select&amp;1-Enemy-Field-Card</t>
  </si>
  <si>
    <t>Fanfare||Crest&amp;0|{When|Allied-Turn-End||If|{Cards|Allied-Field-SuperEvolved-Follower}&gt;0||Damage|Enemy-Follower|2}</t>
  </si>
  <si>
    <t>雷火双神·福尼加尔&amp;亚文哈尔</t>
  </si>
  <si>
    <t>Enhance&amp;5||Evolve|ThisCard</t>
  </si>
  <si>
    <t>LastWords||If|{Cards|Evolved-ThisCard}&gt;0||Damage|Random&amp;1-Enemy-Follower|4</t>
  </si>
  <si>
    <t>联结的天使·蕾娜</t>
  </si>
  <si>
    <t>Evolve||Evolve|Allied-UnEvolved-Follower</t>
  </si>
  <si>
    <t>女仆天使·切蕾塔</t>
  </si>
  <si>
    <t>Fanfare||If|Unlock-SuperEvolve||+0/+3|ThisCard</t>
  </si>
  <si>
    <t>双刀哥布林</t>
  </si>
  <si>
    <t>Fanfare||If|{Cards|Allied-Field-SuperEvolved-Follower}&gt;0||Damage|Select&amp;1-Enemy-Follower|4</t>
  </si>
  <si>
    <t>逆向变化</t>
  </si>
  <si>
    <t>Play||+2/-2|Select&amp;1-Field-Follower</t>
  </si>
  <si>
    <t>纹章:翅翼女王·提泰妮娅</t>
  </si>
  <si>
    <t>When|Allied-Turn-Start||AddToHand|1010402|1</t>
  </si>
  <si>
    <t>翅翼女王·提泰妮娅</t>
  </si>
  <si>
    <t>Fanfare||Crest&amp;0|{When|Allied-Turn-Start||AddToHand|1010402|1}</t>
  </si>
  <si>
    <t>Evolve||Transform|Select&amp;1-Enemy-Field-Follower|1010402</t>
  </si>
  <si>
    <t>缠绕密林·丽梅格</t>
  </si>
  <si>
    <t>SuperEvolve||Give|Select&amp;2-Enemy-Field-Follower|{When|Allied-Turn-End||Damage|Allied-Leader|1||Damage|ThisCard|2}</t>
  </si>
  <si>
    <t>森林骑士道·辛西亚</t>
  </si>
  <si>
    <t>Fanfare||Summon|1010402|2</t>
  </si>
  <si>
    <t>Evolve||+1/+0|Allied-Field-Trait:1-Follower</t>
  </si>
  <si>
    <t>花园的指引</t>
  </si>
  <si>
    <t>Fuse|Forestcraft-Card</t>
  </si>
  <si>
    <t>Play||Draw|1||Change|If|{Fuse&amp;Cards}&gt;0||Draw|2</t>
  </si>
  <si>
    <t>来自树上的偷袭</t>
  </si>
  <si>
    <t>Play||Damage|Random&amp;1-Enemy-Follower|2||Change|If|Combo&amp;3||Repeat&amp;2|Damage|Random&amp;1-Enemy-Follower|2</t>
  </si>
  <si>
    <t>妖精击剑士</t>
  </si>
  <si>
    <t>ActivateInHand-When|Allied-Follower|SuperEvolve||Cost$1|ThisCard</t>
  </si>
  <si>
    <t>热情的精灵·莱昂内尔</t>
  </si>
  <si>
    <t>Fanfare||Summon|1211302|2</t>
  </si>
  <si>
    <t>狂野女孩</t>
  </si>
  <si>
    <t>木锤矮人</t>
  </si>
  <si>
    <t>Fanfare||Damage|Select&amp;1-Enemy-Follower|4||Change|If|Combo&amp;3||Damage|Enemy-Follower|4</t>
  </si>
  <si>
    <t>森林的游行</t>
  </si>
  <si>
    <t>Play||Summon|1011404|3</t>
  </si>
  <si>
    <t>安静的女仆·诺嘉</t>
  </si>
  <si>
    <t>Fanfare||If|{Cards|Allied-Field-SameName&amp;1321202-Card}&gt;0||+1/+1|ThisCard||Give|ThisCard|{Bane}</t>
  </si>
  <si>
    <t>静寂的安纳提玛·吉尔达利娅</t>
  </si>
  <si>
    <t>Fanfare||If|Rally&amp;20||SuperEvolve|ThisCard</t>
  </si>
  <si>
    <t>When|Allied-Other-Follower|EnterField||Damage|Enemy-Follower|1</t>
  </si>
  <si>
    <t>When|ThisCard|Evolve||Summon|1220402|2||Give|It|{Rush}</t>
  </si>
  <si>
    <t>雷维翁超越者·尤里乌斯</t>
  </si>
  <si>
    <t>Fanfare||Enemy-Summon|1020401|2</t>
  </si>
  <si>
    <t>When|Enemy-Follower|EnterField||Damage|Enemy-Leader|1</t>
  </si>
  <si>
    <t>When|Enemy-Follower|EnterField||Restore|Allied-Leader|1</t>
  </si>
  <si>
    <t>假日中的王女·普莉姆</t>
  </si>
  <si>
    <t>Fanfare||AddToHand|1320201|1</t>
  </si>
  <si>
    <t>SuperEvolve||+1/+1|Allied-Field-Other-Follower</t>
  </si>
  <si>
    <t>剑士公主·萝泽</t>
  </si>
  <si>
    <t>Enhance&amp;5||Search|Random&amp;1-Swordcraft-Cost&lt;3-Follower||Cost$0|It</t>
  </si>
  <si>
    <t>Strike||Destroy|Damaged-Follower-Opposing</t>
  </si>
  <si>
    <t>平凡骑士·拉奇尔</t>
  </si>
  <si>
    <t>Fanfare||Search|Random&amp;1-Spell</t>
  </si>
  <si>
    <t>Evolve||PP|2</t>
  </si>
  <si>
    <t>三将姬的乱击</t>
  </si>
  <si>
    <t>Play||Damage|Random&amp;1-Enemy-Follower|4||Change|Enhance&amp;4||Damage|Random&amp;3-Enemy-Follower|4</t>
  </si>
  <si>
    <t>无畏的副团长·格尔德</t>
  </si>
  <si>
    <t>When|Allied-Turn-End||If|{Cards|Allied-Field-SuperEvolved-Follower}&gt;0||+1/+1|Allied-Field-Follower</t>
  </si>
  <si>
    <t>扳机女仆·赛莉亚</t>
  </si>
  <si>
    <t>Fanfare||Damage|Random&amp;2-Enemy-Follower|1</t>
  </si>
  <si>
    <t>商谈成立</t>
  </si>
  <si>
    <t>Play||Enemy-Draw|1</t>
  </si>
  <si>
    <t>暗斗的忍者大师</t>
  </si>
  <si>
    <t>纹章:帕梅拉的舞蹈</t>
  </si>
  <si>
    <t>When|Allied-Turn-End||Draw|1</t>
  </si>
  <si>
    <t>When|Allied-Turn-End||If|EarthRite&amp;10||*2/*2|Allied-Field-Follower</t>
  </si>
  <si>
    <t>洋葱军团兵</t>
  </si>
  <si>
    <t>Strike||Spellboost|Hand-Card|1</t>
  </si>
  <si>
    <t>纹章:否定的咏唱·芭赛特</t>
  </si>
  <si>
    <t>When|Allied-Turn-Start||Summon|1330301|1</t>
  </si>
  <si>
    <t>Fanfare||If|EarthRite&amp;1||Mode&amp;1|{Summon|1030404|1||Give|It|{Barrier}}|{Draw|3}|{Restore|Allied-Leader|4}</t>
  </si>
  <si>
    <t>暴食的安纳提玛·拉拉安瑟姆</t>
  </si>
  <si>
    <t>LastWords||If|EarthRite&amp;2||Summon|1331102|1</t>
  </si>
  <si>
    <t>SuperEvolve||Destroy|Select&amp;2-Enemy-Follower</t>
  </si>
  <si>
    <t>玛纳利亚剑士·欧文</t>
  </si>
  <si>
    <t>Clash||Spellboost|Hand-Card|1</t>
  </si>
  <si>
    <t>Evolve||Draw|2</t>
  </si>
  <si>
    <t>Play||EarthSigil|1</t>
  </si>
  <si>
    <t>Play||Crest&amp;1|{When|Allied-Turn-End||Draw|1}|{When|Allied-Turn-End||If|EarthRite&amp;10||*2/*2|Allied-Field-Follower}</t>
  </si>
  <si>
    <t>Fanfare||Summon|1330301|2</t>
  </si>
  <si>
    <t>Evolve||Crest&amp;0|{When|Allied-Turn-Start||Summon|1330301|1}</t>
  </si>
  <si>
    <t>Play||SplitDamage|Enemy-Follower|X||X=Spellboost</t>
  </si>
  <si>
    <t>调香的魔法师</t>
  </si>
  <si>
    <t>Fanfare||Damage|Select&amp;1-Enemy-Follower|3</t>
  </si>
  <si>
    <t>Fanfare||AddToHand|1431401|1</t>
  </si>
  <si>
    <t>Fanfare||If|{Cards|Allied-Field-SuperEvolved-Follower}&gt;0||EarthSigil|2</t>
  </si>
  <si>
    <t>魔导图书管理员</t>
  </si>
  <si>
    <t>冰锥穿击</t>
  </si>
  <si>
    <t>Play||If|EarthRite&amp;2||Damage|Enemy-Leader|2</t>
  </si>
  <si>
    <t>银冰吐息</t>
  </si>
  <si>
    <t>Play||Mode&amp;1|{Destroy|Enemy-Damaged-Follower}|{Enemy-Turn-End-Until|Cost+1|Enemy-Hand-Card}</t>
  </si>
  <si>
    <t>纹章:苍海的制裁·尼普顿</t>
  </si>
  <si>
    <t>When|Allied-Trait:13-Follower|EnterField||Restore|Allied-Leader|1</t>
  </si>
  <si>
    <t>大海虎鲸</t>
  </si>
  <si>
    <t>绚丽凤凰·小凤</t>
  </si>
  <si>
    <t>Fanfare||Cost%2|Allied-Deck-Card</t>
  </si>
  <si>
    <t>银冰龙少女·菲琳</t>
  </si>
  <si>
    <t>Fanfare||If|Overflow||AddToHand|1340101|1</t>
  </si>
  <si>
    <t>Evolve||Damage|Enemy-Follower|1</t>
  </si>
  <si>
    <t>龙骑突击</t>
  </si>
  <si>
    <t>Play||Cost-2|Select&amp;1-Allied-Hand-Card</t>
  </si>
  <si>
    <t>苍海的制裁·尼普顿</t>
  </si>
  <si>
    <t>Fanfare||Crest&amp;0|{When|Allied-Trait:13-Follower|EnterField||Restore|Allied-Leader|1}</t>
  </si>
  <si>
    <t>Fanfare||Summon|1340401|2</t>
  </si>
  <si>
    <t>SuperEvolve||Summon|1340401|2</t>
  </si>
  <si>
    <t>炎龙之剑</t>
  </si>
  <si>
    <t>Engage&amp;1||+1/+1|Select&amp;1-Allied-Field-Follower||Give|It|{LastWords||Summon|1341301|1}</t>
  </si>
  <si>
    <t>宿愿的龙人公主</t>
  </si>
  <si>
    <t>Fanfare||If|{Cards|Allied-Field-SuperEvolved-Follower}&gt;0||Draw|2</t>
  </si>
  <si>
    <t>身经百战的鱼人</t>
  </si>
  <si>
    <t>Evolve||Summon|1340401|1</t>
  </si>
  <si>
    <t>飞跃的银白幼龙</t>
  </si>
  <si>
    <t>Fanfare||If|Overflow||Draw|1</t>
  </si>
  <si>
    <t>虎鲸的呼声</t>
  </si>
  <si>
    <t>Play||Summon|1340401|1</t>
  </si>
  <si>
    <t>Play||If|Overflow||Search|Random&amp;1-SameName&amp;1341402-Card</t>
  </si>
  <si>
    <t>庇护的智龙</t>
  </si>
  <si>
    <t>ActivateInHand-When|Allied-Follower|SuperEvolve||Cost$3|ThisCard</t>
  </si>
  <si>
    <t>纹章:流动堕落的冥河·凯伦</t>
  </si>
  <si>
    <t>When|Allied-Turn-Start||Reanimate|3</t>
  </si>
  <si>
    <t>一尾狐</t>
  </si>
  <si>
    <t>LastWords||+1/+0|Random&amp;1-Allied-Field-SameName&amp;双轮夜行·吟雪&amp;夕月-Follower</t>
  </si>
  <si>
    <t>腐臭的僵尸</t>
  </si>
  <si>
    <t>LastWords||Summon|1350402|1||Remove|LastWords|It</t>
  </si>
  <si>
    <t>流动堕落的冥河·凯伦</t>
  </si>
  <si>
    <t>Fanfare||Reanimate|2</t>
  </si>
  <si>
    <t>Fanfare||Reanimate|1</t>
  </si>
  <si>
    <t>When|Allied-Trait:5-Follower|EnterField||Give|It|{Ward}</t>
  </si>
  <si>
    <t>SuperEvolve||Crest&amp;2|{When|Allied-Turn-Start||Reanimate|3}</t>
  </si>
  <si>
    <t>双轮夜行·吟雪&amp;夕月</t>
  </si>
  <si>
    <t>Fanfare||Mode&amp;1|{Summon|1350102|4}|{Destroy|Random&amp;4-Enemy-Follower||Restore|Allied-Leader|4}</t>
  </si>
  <si>
    <t>悲惨战争·萝拉</t>
  </si>
  <si>
    <t>Fanfare||Give|Select&amp;1-Allied-Field-Follower|{Bane}</t>
  </si>
  <si>
    <t>SuperEvolve||Give|Select&amp;1-Allied-Field-Follower|{Storm}</t>
  </si>
  <si>
    <t>夜曲将军·艾瑟拉</t>
  </si>
  <si>
    <t>Fanfare||+X/+0|ThisCard||X=Cards|Allied-Field-Other-Follower</t>
  </si>
  <si>
    <t>使唤蝙蝠</t>
  </si>
  <si>
    <t>Play||Summon|1050402|2</t>
  </si>
  <si>
    <t>爆破之翼·圮尤拉</t>
  </si>
  <si>
    <t>When|Allied-Other-Follower|SuperEvolve||+2/+0|It</t>
  </si>
  <si>
    <t>When|Allied-Other-Follower|SuperEvolve||+2/+0|ThisCard</t>
  </si>
  <si>
    <t>尸兵</t>
  </si>
  <si>
    <t>Fanfare||Summon|1350402|2</t>
  </si>
  <si>
    <t>怨恨的栽培者</t>
  </si>
  <si>
    <t>诅咒派对</t>
  </si>
  <si>
    <t>Play||AddToHand|1050403|1</t>
  </si>
  <si>
    <t>Play||AddToHand|1250402|1</t>
  </si>
  <si>
    <t>Play||AddToHand|1350402|1</t>
  </si>
  <si>
    <t>银色子弹·雷文</t>
  </si>
  <si>
    <t>Evolve||Destroy|Select&amp;2-Enemy-Follower</t>
  </si>
  <si>
    <t>Evolve||Damage|Allied-Leader|2</t>
  </si>
  <si>
    <t>圣骑兵</t>
  </si>
  <si>
    <t>纹章:呜咽的圣骑士·维尔伯特</t>
  </si>
  <si>
    <t>When|Allied-Keyword&amp;Ward-Follower|EnterField||+1/+2|It</t>
  </si>
  <si>
    <t>纹章:疯狂的恩宠</t>
  </si>
  <si>
    <t>LastWords||Damage|Allied-Leader|10</t>
  </si>
  <si>
    <t>LastWords||Summon|1360101|2</t>
  </si>
  <si>
    <t>Evolve||Crest&amp;0|{When|Allied-Keyword&amp;Ward-Follower|EnterField||+1/+2|It}</t>
  </si>
  <si>
    <t>天之守护神·埃忒耳</t>
  </si>
  <si>
    <t>Fanfare||SearchSummon|Random@3-Cost&lt;4-Follower</t>
  </si>
  <si>
    <t>SuperEvolve||+0/+2|Allied-Field-Other-Follower||Give|It|{Aura}</t>
  </si>
  <si>
    <t>Play||Restore|Allied-Leader|10</t>
  </si>
  <si>
    <t>Play||Crest&amp;2|{LastWords||Damage|Allied-Leader|10}</t>
  </si>
  <si>
    <t>速断之刃·阿尼耶丝</t>
  </si>
  <si>
    <t>Strike||If|{Cards|Allied-Field-Amulet}&gt;1||Destroy|Random&amp;1-Enemy-Opposing&amp;Except-Follower</t>
  </si>
  <si>
    <t>有洁癖的审判者</t>
  </si>
  <si>
    <t>Fanfare||Banish|Select&amp;1-Enemy-Field-Follower</t>
  </si>
  <si>
    <t>神圣守护</t>
  </si>
  <si>
    <t>Play||+0/+1|Select&amp;1-Allied-Field-Keyword&amp;Ward-Follower||Damage|Random&amp;1-Enemy-Follower|X||X=Defense|It</t>
  </si>
  <si>
    <t>弹幕驱魔人·珂蕾特</t>
  </si>
  <si>
    <t>Fanfare||Damage|Random&amp;1-Enemy-Follower|2||Change|If|{Cards|Allied-Field-Amulet}&gt;1||Repeat&amp;2|Damage|Random&amp;1-Enemy-Follower|2</t>
  </si>
  <si>
    <t>恶意的神谕·达姆斯</t>
  </si>
  <si>
    <t>Fanfare||Give|Select&amp;1-Enemy-Field-Follower|{When|Allied-Turn-End||Destroy|ThisCard}</t>
  </si>
  <si>
    <t>流光香炉</t>
  </si>
  <si>
    <t>Engage&amp;1||Restore|Allied-Leader|4</t>
  </si>
  <si>
    <t>粉碎的圣职者</t>
  </si>
  <si>
    <t>Evolve||Destroy|Select&amp;1-Enemy-SuperEvolved-Follower</t>
  </si>
  <si>
    <t>维多利亚</t>
  </si>
  <si>
    <t>Strike||Damage|Opposing|X||X=Attack|ThisCard</t>
  </si>
  <si>
    <t>屠戮人偶</t>
  </si>
  <si>
    <t>LastWords||Summon|1371302|1</t>
  </si>
  <si>
    <t>精神武艺·迦尔拉</t>
  </si>
  <si>
    <t>Fanfare||CopySummon|Select&amp;1-Allied-Hand-Trait:7-Cost&lt;6-Follower</t>
  </si>
  <si>
    <t>交响之心·枷薇</t>
  </si>
  <si>
    <t>Fanfare||Summon|1370101|1</t>
  </si>
  <si>
    <t>When|Allied-Trait:6-Follower|EnterField||Give|It|{Ward}</t>
  </si>
  <si>
    <t>暗狱的余晖·贾丝珀</t>
  </si>
  <si>
    <t>Evolve||Give|Select&amp;1-Allied-Hand-Trait:7-Follower|{Ward}||Give|It|{CantBeDestroyed}</t>
  </si>
  <si>
    <t>心有灵犀的共斗</t>
  </si>
  <si>
    <t>Play||Summon|1270103|1</t>
  </si>
  <si>
    <t>Play||Summon|1370101|1</t>
  </si>
  <si>
    <t>伊卡洛斯的飞翔</t>
  </si>
  <si>
    <t>Play||Give|Select&amp;1-Allied-Hand-Trait:7-Follower|{Rush}||Give|It|{LastWords||Draw|1}</t>
  </si>
  <si>
    <t>心灵屠戮者·菲亚</t>
  </si>
  <si>
    <t>Fanfare||Transform|Select&amp;1-Allied-Hand-Trait:6-Follower|1370301</t>
  </si>
  <si>
    <t>绝望之王·阿基姆</t>
  </si>
  <si>
    <t>Evolve||Banish|Select&amp;1-Enemy-Field-Attack&lt;5-Follower||CopySummon|It</t>
  </si>
  <si>
    <t>引擎剑士</t>
  </si>
  <si>
    <t>Fanfare||Summon|1070303|1</t>
  </si>
  <si>
    <t>猫偶</t>
  </si>
  <si>
    <t>Fanfare||If|{Cards|Allied-Field-SuperEvolved-Follower}&gt;0||AddToHand|1070405|1||+3/+0|It</t>
  </si>
  <si>
    <t>创造物弹射器</t>
  </si>
  <si>
    <t>Engage&amp;3||Destroy|ThisCard</t>
  </si>
  <si>
    <t>Engage&amp;3||CopySummon|Select&amp;1-Allied-Hand-Trait:7-Cost&lt;6-Follower||Give|It|{When|Enemy-Turn-End||Destroy|ThisCard}</t>
  </si>
  <si>
    <t>星云基础</t>
  </si>
  <si>
    <t>治愈的旋律</t>
  </si>
  <si>
    <t>Play||Restore|Allied-Leader|3</t>
  </si>
  <si>
    <t>商队猛犸象</t>
  </si>
  <si>
    <t>哥布林杀手·路西乌斯&amp;汀娜</t>
  </si>
  <si>
    <t>Evolve||Destroy|Select&amp;1-Enemy-Neutral-Follower||Change|SuperEvolve||Destroy|Select&amp;2-Enemy-Neutral-Follower</t>
  </si>
  <si>
    <t>侦探的放大镜</t>
  </si>
  <si>
    <t>Engage&amp;0||Remove|Ward|Select&amp;1-Enemy-Field-Follower</t>
  </si>
  <si>
    <t>叮当天使·莉亚</t>
  </si>
  <si>
    <t>激震的歌利亚</t>
  </si>
  <si>
    <t>不屈的剑斗士</t>
  </si>
  <si>
    <t>Enhance&amp;4||+3/+3|ThisCard</t>
  </si>
  <si>
    <t>旋律的演奏者</t>
  </si>
  <si>
    <t>Evolve||Summon|1010402|3</t>
  </si>
  <si>
    <t>SuperEvolve||Give|Allied-Field-Trait:1-Follower|{Storm}</t>
  </si>
  <si>
    <t>自由牧者</t>
  </si>
  <si>
    <t>Fanfare||+1/+0|Select&amp;1-Allied-Field-Other-Cost=1-Follower</t>
  </si>
  <si>
    <t>Enhance&amp;4||+1/+1|Allied-Field-Follower</t>
  </si>
  <si>
    <t>林中旅程</t>
  </si>
  <si>
    <t>Play||If|Combo&amp;3||AddToHand|1210402|1</t>
  </si>
  <si>
    <t>妖精召集令</t>
  </si>
  <si>
    <t>Play||AddToHand|1010402|2</t>
  </si>
  <si>
    <t>流水庭院</t>
  </si>
  <si>
    <t>When|Allied-Trait:1-Follower|EnterField||Restore|Allied-Leader|1||Countdown-1|ThisCard</t>
  </si>
  <si>
    <t>Engage&amp;0||Summon|1010402|1</t>
  </si>
  <si>
    <t>冒险精灵·小梅</t>
  </si>
  <si>
    <t>Fanfare||If|Combo&amp;3||Damage|Select&amp;1-Enemy-Follower|3</t>
  </si>
  <si>
    <t>大自然的警告</t>
  </si>
  <si>
    <t>Engage&amp;0||Mode&amp;1|{Damage|Enemy-Striked-Follower|2}|{ReturnToHand|Select&amp;1-Allied-Follower}</t>
  </si>
  <si>
    <t>动员令</t>
  </si>
  <si>
    <t>Play||AddToHand|1020401|2</t>
  </si>
  <si>
    <t>军备锻造</t>
  </si>
  <si>
    <t>月夜暗杀者</t>
  </si>
  <si>
    <t>Enhance&amp;6||Destroy|Select&amp;1-Enemy-Follower</t>
  </si>
  <si>
    <t>见习骑士</t>
  </si>
  <si>
    <t>Fanfare||If|{Cards|Allied-Field-Evolved-Follower}&gt;0||Evolve|ThisCard</t>
  </si>
  <si>
    <t>历战近卫</t>
  </si>
  <si>
    <t>辉彩元素使</t>
  </si>
  <si>
    <t>Evolve||EarthSigil|2</t>
  </si>
  <si>
    <t>Evolve||Damage|Enemy-Follower|2</t>
  </si>
  <si>
    <t>SuperEvolve||If|EarthRite&amp;2||Summon|1030404|2</t>
  </si>
  <si>
    <t>尘土化形</t>
  </si>
  <si>
    <t>Play||Summon|1030403|1||Change|If|EarthRite&amp;1||Summon|1030404|1</t>
  </si>
  <si>
    <t>疾风爆裂</t>
  </si>
  <si>
    <t>魔焰毁灭者</t>
  </si>
  <si>
    <t>流水药剂师</t>
  </si>
  <si>
    <t>Fanfare||Mode&amp;1|{EarthSigil|2}|{If|EarthRite&amp;2||Restore|Allied-Leader|4}</t>
  </si>
  <si>
    <t>飞龙</t>
  </si>
  <si>
    <t>新手龙骑士</t>
  </si>
  <si>
    <t>Fanfare||Summon|1240402|1||Change|Enhance&amp;6||Summon|1440401|1</t>
  </si>
  <si>
    <t>龙之灵视</t>
  </si>
  <si>
    <t>Play||Mode&amp;1|{MaxPP|1}|{Draw|2}</t>
  </si>
  <si>
    <t>猛击的龙族勇士</t>
  </si>
  <si>
    <t>龙人碎击</t>
  </si>
  <si>
    <t>Play||Damage|Select&amp;1-Enemy-Follower|2||Change|If|Overflow||Damage|Select&amp;1-Enemy-Follower|4</t>
  </si>
  <si>
    <t>烈焰火蜥蜴</t>
  </si>
  <si>
    <t>Fanfare||Damage|Select&amp;1-Enemy-Follower|1</t>
  </si>
  <si>
    <t>潜泳纵队</t>
  </si>
  <si>
    <t>Play||Summon|1340401|3</t>
  </si>
  <si>
    <t>凶鲨战士</t>
  </si>
  <si>
    <t>狂猎恶魔</t>
  </si>
  <si>
    <t>禁约掘墓人</t>
  </si>
  <si>
    <t>Fanfare||AddToHand|1250402|1</t>
  </si>
  <si>
    <t>灵魂转化</t>
  </si>
  <si>
    <t>呼魂女巫</t>
  </si>
  <si>
    <t>Evolve||Summon|1050403|3</t>
  </si>
  <si>
    <t>SuperEvolve||If|Necromancy&amp;8||Give|It|{Bane}</t>
  </si>
  <si>
    <t>迷魂归途</t>
  </si>
  <si>
    <t>Play||Reanimate|3</t>
  </si>
  <si>
    <t>恶毒的小木乃伊</t>
  </si>
  <si>
    <t>Fanfare||If|Necromancy&amp;4||Give|ThisCard|{Storm}</t>
  </si>
  <si>
    <t>魅惑的魅魔·莉莉姆</t>
  </si>
  <si>
    <t>圣枪战士</t>
  </si>
  <si>
    <t>Fanfare||+2/+0|Select&amp;1-Allied-Field-Other-Follower</t>
  </si>
  <si>
    <t>持矛锤的僧侣</t>
  </si>
  <si>
    <t>亚巴顿</t>
  </si>
  <si>
    <t>Engage&amp;2||Countdown-2|ThisCard</t>
  </si>
  <si>
    <t>受祝勇士</t>
  </si>
  <si>
    <t>解析的创造物</t>
  </si>
  <si>
    <t>古老的创造物</t>
  </si>
  <si>
    <t>公转的创造物</t>
  </si>
  <si>
    <t>When|Allied-Turn-End||AddToHand|1070405|1</t>
  </si>
  <si>
    <t>纹章:加速引擎</t>
  </si>
  <si>
    <t>When|Allied-Trait:7-Follower|EnterField||Give|It|{Rush}</t>
  </si>
  <si>
    <t>Engage&amp;0||Crest&amp;1|{When|Allied-Trait:7-Follower|EnterField||Give|It|{Rush}}</t>
  </si>
  <si>
    <t>战地机械师</t>
  </si>
  <si>
    <t>Evolve||AddToHand|1470401|1||Change|SuperEvolve||AddToHand|1470401|3</t>
  </si>
  <si>
    <t>Fanfare||Copy|Select&amp;1-Allied-Hand-OrigCost&lt;3-Follower</t>
  </si>
  <si>
    <t>创造物防壁</t>
  </si>
  <si>
    <t>Play||AddToHand|1470403|4</t>
  </si>
  <si>
    <t>陷阵骑将</t>
  </si>
  <si>
    <t>Strike||If|{Cards|Opposing}&gt;0||Give|ThisCard|{CanAttackTimes&amp;2}||Give|ThisCard|{Barrier}</t>
  </si>
  <si>
    <t>大地守护神·米维</t>
  </si>
  <si>
    <t>LastWords||SameSummon|Random&amp;1-Allied-ThisMatch@Destroy-Cost$Highest-Amulet</t>
  </si>
  <si>
    <t>式神·贵人</t>
  </si>
  <si>
    <t>When|ThisCard|EnterField||+X/+Y|ThisCard||X=Attack|Allied-ThisTurn@Destroy-Trait:12-Follower||Y=Defense|Allied-ThisTurn@Destroy-Trait:12-Follower</t>
  </si>
  <si>
    <t>白羽石像</t>
  </si>
  <si>
    <t>清泉修士</t>
  </si>
  <si>
    <t>篝火之夜</t>
  </si>
  <si>
    <t>When|Allied-Turn-Start||Restore|Allied-Leader|X||X=Countdown|ThisCard</t>
  </si>
  <si>
    <t>雇佣刺客</t>
  </si>
  <si>
    <t>寡言的宿敌</t>
  </si>
  <si>
    <t>Evolve||AuxSelect|Select&amp;1-Enemy-Field-Follower||Damage|Enemy-It&amp;Except-Follower|2||Change|SuperEvolve||AuxSelect|Select&amp;1-Enemy-Field-Follower||Damage|Enemy-It&amp;Except-Follower|5</t>
  </si>
  <si>
    <t>巨人军团</t>
  </si>
  <si>
    <t>Fanfare||CopySummon|ThisCard||Change|Enhance&amp;8||Repeat&amp;2|CopySummon|ThisCard</t>
  </si>
  <si>
    <t>Engage&amp;1||Mode&amp;1|{+1/+1|Allied-Field-Follower}|{Destroy|Select&amp;1-Enemy-Follower}</t>
  </si>
  <si>
    <t>命运的预言诗</t>
  </si>
  <si>
    <t>Play||Give|Select&amp;1-Allied-Hand-Follower|{Fanfare||Evolve|ThisCard}||ReturnToDeck|It</t>
  </si>
  <si>
    <t>夜之兽</t>
  </si>
  <si>
    <t>异国的歌唱者</t>
  </si>
  <si>
    <t>LastWords||Search|Random&amp;1-Spell&amp;Amulet</t>
  </si>
  <si>
    <t>纹章:曙光的神使</t>
  </si>
  <si>
    <t>When|Allied-Turn-End||InOrder&amp;1|{Destroy|Random&amp;1-Enemy-Follower}|{Draw|2}|{Restore|Allied-Leader|3}</t>
  </si>
  <si>
    <t>Fanfare||Destroy|Select&amp;1-Enemy-SuperEvolved-Follower</t>
  </si>
  <si>
    <t>苍穹六龙</t>
  </si>
  <si>
    <t>幻彩弓手·丘比丹</t>
  </si>
  <si>
    <t>Fanfare||If|SuperSkybound||Evolve|ThisCard</t>
  </si>
  <si>
    <t>Fanfare||If|SuperSkybound||Damage|Enemy-Leader|3</t>
  </si>
  <si>
    <t>When|ThisCard|Evolve||Repeat&amp;7|Damage|Random&amp;1-Enemy-Follower|1</t>
  </si>
  <si>
    <t>真红与群青·塞达&amp;贝阿朵丽丝</t>
  </si>
  <si>
    <t>Fanfare||Summon|1621101|1||Change|Enhance&amp;6||Summon|1621101|1||Give|It|{Bane}</t>
  </si>
  <si>
    <t>Enhance&amp;6||Give|ThisCard|{Storm}</t>
  </si>
  <si>
    <t>骁勇骑士</t>
  </si>
  <si>
    <t>Play||Mode&amp;1|{Give|Allied-Field-Swordcraft-LeftMost&amp;1-Follower|{CanAttackTimes&amp;2}}|{+1/+1|Allied-Field-Swordcraft-Follower||Give|It|{Barrier}}|{PP|2||EP|1}|{Restore|Allied-Leader|6}</t>
  </si>
  <si>
    <t>水之法则·瓦姆杜斯</t>
  </si>
  <si>
    <t>SuperEvolve||Mode&amp;1|{Give|Allied-Field-Other-Follower|{Barrier}}|{SplitDamage|Enemy-Follower|X}||X=Attack|ThisCard</t>
  </si>
  <si>
    <t>伟大之术</t>
  </si>
  <si>
    <t>Play||Damage|Select&amp;1-Enemy-Follower&amp;Leader|2</t>
  </si>
  <si>
    <t>纹章:天才美少女炼金术士·卡莉奥丝特罗</t>
  </si>
  <si>
    <t>When|Allied-Turn-Start||If|EarthRite&amp;1||AddToHand|1630101|1</t>
  </si>
  <si>
    <t>天才美少女炼金术士·卡莉奥丝特罗</t>
  </si>
  <si>
    <t>Fanfare||AddToHand|1630101|1</t>
  </si>
  <si>
    <t>Fanfare||If|Skybound||Evolve|ThisCard</t>
  </si>
  <si>
    <t>Fanfare||If|SuperSkybound||Crest&amp;0|{When|Allied-Turn-Start||If|EarthRite&amp;1||AddToHand|1630101|1}</t>
  </si>
  <si>
    <t>炼金炎爆</t>
  </si>
  <si>
    <t>Play||If|Skybound||Damage|Enemy-Leader|2</t>
  </si>
  <si>
    <t>炎之法则·威尔纳斯</t>
  </si>
  <si>
    <t>Fanfare||Damage|Select&amp;1-Enemy-Follower|8</t>
  </si>
  <si>
    <t>平平无奇的女孩·梅格</t>
  </si>
  <si>
    <t>Fanfare||If|Skybound||SuperEvolve|ThisCard</t>
  </si>
  <si>
    <t>When|Allied-OrigCost=2-Follower|EnterField||Give|ThisCard|{Ward}</t>
  </si>
  <si>
    <t>纹章:狡诈的堕天司·彼列</t>
  </si>
  <si>
    <t>LastWords||Damage|Enemy-Leader|20</t>
  </si>
  <si>
    <t>狡诈的堕天司·彼列</t>
  </si>
  <si>
    <t>Fanfare||Damage|Other-Follower|10</t>
  </si>
  <si>
    <t>Fanfare||If|SuperSkybound||Crest&amp;4|{LastWords||Damage|Enemy-Leader|20}</t>
  </si>
  <si>
    <t>SuperEvolve||Countdown-1|Allied-SameName&amp;1650101-Crest</t>
  </si>
  <si>
    <t>纹章:堕落</t>
  </si>
  <si>
    <t>When|Allied-Turn-End||Damage|Allied-Leader|2</t>
  </si>
  <si>
    <t>堕落</t>
  </si>
  <si>
    <t>Play||-2/-2|Field-Follower</t>
  </si>
  <si>
    <t>Play||Crest&amp;4|{When|Allied-Turn-End||Damage|Allied-Leader|2}</t>
  </si>
  <si>
    <t>Play||Enemy-Crest&amp;4|{When|Allied-Turn-End||Damage|Allied-Leader|2}</t>
  </si>
  <si>
    <t>Play||If|SuperSkybound||Destroy|Allied-SameName&amp;1650201-Crest</t>
  </si>
  <si>
    <t>威严的星晶骑士·薇拉</t>
  </si>
  <si>
    <t>Fanfare||Banish|Select&amp;2-Enemy-Field-Follower</t>
  </si>
  <si>
    <t>Fanfare||If|SuperSkybound||SuperEvolve|ThisCard</t>
  </si>
  <si>
    <t>CantTakeMoreDamage&amp;3</t>
  </si>
  <si>
    <t>蕾·菲耶的宝石</t>
  </si>
  <si>
    <t>Engage&amp;0||Mode&amp;1|{Destroy|Random&amp;1-Enemy-Follower}|{Draw|2}</t>
  </si>
  <si>
    <t>唯一王者·别西卜</t>
  </si>
  <si>
    <t>Fanfare||Remove|All|Select&amp;2-Enemy-Field-Follower||Damage|It|9</t>
  </si>
  <si>
    <t>Fanfare||Give|Enemy-Field-Leader|{TakeDamage&amp;1}</t>
  </si>
  <si>
    <t>毁灭创造物α</t>
  </si>
  <si>
    <t>Fuse|SameName&amp;1070203&amp;1070201-Card</t>
  </si>
  <si>
    <t>ActivateInHand-When|ThisCard|Keyword&amp;Fuse||If|{Fuse&amp;Types}=2||Transform|ThisCard|1070101</t>
  </si>
  <si>
    <t>When|Allied-Turn-End||Restore|Allied-Leader|3</t>
  </si>
  <si>
    <t>纹章:天司长的继承者·圣德芬</t>
  </si>
  <si>
    <t>When|Allied-Turn-End||Restore|Allied-Follower&amp;Leader|1</t>
  </si>
  <si>
    <t>天司长的继承者·圣德芬</t>
  </si>
  <si>
    <t>ActivateInDeck-When|Allied-Turn-Start||If|{ThisMatch-Evolve-Times|Allied-Follower}&gt;5||Invoke</t>
  </si>
  <si>
    <t>When|ThisCard|Invoke||Crest&amp;2|{When|Allied-Turn-End||Restore|Allied-Follower&amp;Leader|1}</t>
  </si>
  <si>
    <t>When|ThisCard|Invoke||ReturnToHand|ThisCard</t>
  </si>
  <si>
    <t>Fanfare||If|SuperSkybound||Repeat&amp;5|Damage|Random&amp;1-Enemy-Follower&amp;Leader|2</t>
  </si>
  <si>
    <t>纹章:艾蔻</t>
  </si>
  <si>
    <t>When|Allied-Card|Play||If|Combo&amp;3||Countdown-1|ThisCard</t>
  </si>
  <si>
    <t>艾蔻</t>
  </si>
  <si>
    <t>秘园守卫</t>
  </si>
  <si>
    <t>Fanfare||ReturnToHand|Select&amp;1-Allied-Other-Follower||Give|It|{Fanfare||+1/+1|ThisCard}</t>
  </si>
  <si>
    <t>妖精的团结</t>
  </si>
  <si>
    <t>游牧之地</t>
  </si>
  <si>
    <t>Fanfare||SearchSummon|Random&amp;1-Forestcraft-Cost&lt;4-Cost$Highest-Follower</t>
  </si>
  <si>
    <t>Engage&amp;1||+1/+1|Select&amp;1-Allied-Field-Follower||Change|If|Combo&amp;3||+1/+1|Allied-Field-Follower</t>
  </si>
  <si>
    <t>指挥的奇迹</t>
  </si>
  <si>
    <t>Play||Mode&amp;1|{+2/+1|Select&amp;1-Allied-Field-Follower}|{AddToDeck|1511302|3||Draw|2}|{Banish|Allied-Deck-SameName&amp;1511302-Card}</t>
  </si>
  <si>
    <t>狐樱花</t>
  </si>
  <si>
    <t>Evolve||+0/+1|ThisCard</t>
  </si>
  <si>
    <t>SuperEvolve||+0/+1|ThisCard</t>
  </si>
  <si>
    <t>芙罗拉</t>
  </si>
  <si>
    <t>纹章:穷极的精灵</t>
  </si>
  <si>
    <t>When|Allied-Turn-End||Destroy|Random&amp;1-Enemy-Follower</t>
  </si>
  <si>
    <t>森奥的精灵</t>
  </si>
  <si>
    <t>When|ThisCard|LeaveField||AddToHand|1210402|1</t>
  </si>
  <si>
    <t>禁忌探索</t>
  </si>
  <si>
    <t>希望的萌芽</t>
  </si>
  <si>
    <t>Play||Summon|1010402|1||Give|It|{LastWords||Restore|Allied-Leader|1}</t>
  </si>
  <si>
    <t>Play||Summon|1010402|1||Give|It|{LastWords||Draw|1}</t>
  </si>
  <si>
    <t>纹章:荒牙的精灵</t>
  </si>
  <si>
    <t>When|Allied-Turn-End||Damage|Enemy-Leader|2</t>
  </si>
  <si>
    <t>Fanfare||If|Combo&amp;3||Summon|1010402|1</t>
  </si>
  <si>
    <t>When|Allied-Trait:1-Follower|EnterField||+1/+0|It</t>
  </si>
  <si>
    <t>纹章:出穗的精灵</t>
  </si>
  <si>
    <t>风之子·奥拉</t>
  </si>
  <si>
    <t>拂尘的微风</t>
  </si>
  <si>
    <t>涤界的狂岚</t>
  </si>
  <si>
    <t>Play||ReturnToHand|Enemy-Follower</t>
  </si>
  <si>
    <t>纹章:极艺宗师·拉斐尔</t>
  </si>
  <si>
    <t>拾果龙</t>
  </si>
  <si>
    <t>ActivateInHand-When|Allied-SameName&amp;1010402-Follower|LeaveField||Cost-1|ThisCard</t>
  </si>
  <si>
    <t>Fanfare||AddToHand|1070402|1||Give|It|{Ward}||Give|It|{Fanfare||Summon|1070402|1||Give|It|{Drain}||Summon|1070402|1||Give|It|{Storm}}</t>
  </si>
  <si>
    <t>ActivateInHand-When|Allied-Trait:7-Follower|AddToHand||Cost-1|ThisCard</t>
  </si>
  <si>
    <t>Play||AddToHand|1570403|1</t>
  </si>
  <si>
    <t>Fanfare||AddToHand|1470401|1</t>
  </si>
  <si>
    <t>Fanfare||Mode&amp;1|{Copy|Select&amp;1-Allied-Hand-Trait:7-Follower}|{+2/+2|Select&amp;1-Allied-Hand-Trait:7-Follower}</t>
  </si>
  <si>
    <t>SuperEvolve||Destroy|Select&amp;2-Allied-Trait:7-Follower||Summon|1570403|2</t>
  </si>
  <si>
    <t>增殖的创造物</t>
  </si>
  <si>
    <t>Fanfare||CopySummon|ThisCard</t>
  </si>
  <si>
    <t>神秘的创造物</t>
  </si>
  <si>
    <t>锋锐的创造物</t>
  </si>
  <si>
    <t>绚烂的创造物</t>
  </si>
  <si>
    <t>LastWords||If|Enemy-Turn||Draw|1</t>
  </si>
  <si>
    <t>LastWords||If|Allied-Turn||Restore|Allied-Leader|2</t>
  </si>
  <si>
    <t>Enhance&amp;4||AddToHand|1470402|1</t>
  </si>
  <si>
    <t>When|Allied-Trait:7-Follower|AddToHand||+1/+1|It</t>
  </si>
  <si>
    <t>SuperEvolve||$4/+0|Enemy-Field-Follower</t>
  </si>
  <si>
    <t>乙太狂飙</t>
  </si>
  <si>
    <t>纹章:导明焊接工</t>
  </si>
  <si>
    <t>LastWords||Summon|1771402|1</t>
  </si>
  <si>
    <t>导明焊接工</t>
  </si>
  <si>
    <t>When|ThisCard|EnterField||Restore|Allied-Leader|2</t>
  </si>
  <si>
    <t>When|ThisCard|LeaveField||Crest&amp;0|{LastWords||Summon|1771402|1}</t>
  </si>
  <si>
    <t>纹章:导明领队·济缘核心</t>
  </si>
  <si>
    <t>LastWords||Summon|1771101|1</t>
  </si>
  <si>
    <t>导明领队·济缘核心</t>
  </si>
  <si>
    <t>When|ThisCard|EnterField||If|{NamingCount&amp;Faith}&gt;9||Transform|ThisCard|1770102</t>
  </si>
  <si>
    <t>When|ThisCard|EnterField||Banish|Allied-Field-Other-Trait:15-Follower</t>
  </si>
  <si>
    <t>When|Allied-Turn-End||Destroy|Allied-LeftMost&amp;1-Crest</t>
  </si>
  <si>
    <t>When|ThisCard|LeaveField||Crest&amp;0|{LastWords||Summon|1771101|1}</t>
  </si>
  <si>
    <t>纹章:导明扰敌机</t>
  </si>
  <si>
    <t>LastWords||Summon|1771401|1</t>
  </si>
  <si>
    <t>导明扰敌机</t>
  </si>
  <si>
    <t>When|ThisCard|EnterField||Damage|Random&amp;1-Enemy-Follower|1</t>
  </si>
  <si>
    <t>When|ThisCard|LeaveField||Crest&amp;0|{LastWords||Summon|1771401|1}</t>
  </si>
  <si>
    <t>纹章:导明协同者</t>
  </si>
  <si>
    <t>LastWords||Summon|1771403|1</t>
  </si>
  <si>
    <t>导明协同者</t>
  </si>
  <si>
    <t>When|ThisCard|EnterField||+1/+1|Allied-Field-Other-Trait:15-Follower</t>
  </si>
  <si>
    <t>When|ThisCard|LeaveField||Crest&amp;0|{LastWords||Summon|1771403|1}</t>
  </si>
  <si>
    <t>纹章:导明筑巢者</t>
  </si>
  <si>
    <t>LastWords||Summon|1771301|1</t>
  </si>
  <si>
    <t>导明筑巢者</t>
  </si>
  <si>
    <t>When|ThisCard|EnterField||Search|Random&amp;1-Trait:15-Card</t>
  </si>
  <si>
    <t>When|ThisCard|LeaveField||Crest&amp;0|{LastWords||Summon|1771301|1}</t>
  </si>
  <si>
    <t>归乡启程</t>
  </si>
  <si>
    <t>Play||Banish|Allied-Field-Trait:15-Follower||Restore|Allied-Leader|X||X=Attack|It</t>
  </si>
  <si>
    <t>救援引擎</t>
  </si>
  <si>
    <t>Fanfare||AuxSelect|Random&amp;1-Allied-ThisTurn@EnterField-Crest||Destroy|It</t>
  </si>
  <si>
    <t>When|Allied-Trait:15-Follower|EffectEnter||+2/+2|ThisCard</t>
  </si>
  <si>
    <t>循光归航Ω</t>
  </si>
  <si>
    <t>When|Allied-Field&amp;Hand&amp;Deck-Trait:15-Follower|Banish||+X/+X|ThisCard||X=Attack|It</t>
  </si>
  <si>
    <t>LastWords||SameSummon|Random&amp;5-Allied-ThisMatch@Banish-Trait:15-Follower</t>
  </si>
  <si>
    <t>循光滑行车</t>
  </si>
  <si>
    <t>Fanfare||Banish|Select&amp;1-Allied-Field-Other-Trait:15-Follower||Search|Random&amp;1-Trait:16-Card</t>
  </si>
  <si>
    <t>LastWords||Destroy|Allied-LeftMost&amp;1-Crest</t>
  </si>
  <si>
    <t>信仰:循光开路机</t>
  </si>
  <si>
    <t>When|Allied-Crest|Destroy||NamingCount|Faith|1</t>
  </si>
  <si>
    <t>循光开路机</t>
  </si>
  <si>
    <t>When|Allied-Trait:15-Follower|EnterField||If|{NamingCount&amp;Faith}&gt;9||Give|It|{Rush}||Give|It|{Strike||Banish|ThisCard}</t>
  </si>
  <si>
    <t>Engage&amp;0||Destroy|Allied-LeftMost&amp;1-Crest</t>
  </si>
  <si>
    <t>Faith||0|{When|Allied-Crest|Destroy||NamingCount|Faith|1}</t>
  </si>
  <si>
    <t>转移单位</t>
  </si>
  <si>
    <t>Play||Give|Select&amp;1-Allied-Field-Trait:15-Follower|{When|ThisCard|LeaveField||Destroy|Allied-LeftMost&amp;1-Crest}</t>
  </si>
  <si>
    <t>Play||Search|Random&amp;1-Trait:15-Follower</t>
  </si>
  <si>
    <t>亲爱的搭档·碧</t>
  </si>
  <si>
    <t>Fanfare||If|Unlock-SuperEvolve||Evolve|ThisCard</t>
  </si>
  <si>
    <t>掌握天空命运的少女·露莉亚</t>
  </si>
  <si>
    <t>Enhance&amp;8||Search|Random&amp;1-Cost&gt;6-Follower</t>
  </si>
  <si>
    <t>Enhance&amp;8||PP|7</t>
  </si>
  <si>
    <t>宙域使者·尤妮</t>
  </si>
  <si>
    <t>征服苍空的骑空士·古兰&amp;姬塔</t>
  </si>
  <si>
    <t>Fanfare||Mode&amp;1|{Damage|Random&amp;1-Enemy-Follower|5}|{Search|Random&amp;2-Follower}</t>
  </si>
  <si>
    <t>驰骋天空的守护者·卡塔莉娜</t>
  </si>
  <si>
    <t>Fanfare||If|Skybound||Damage|Random&amp;2-Enemy-Follower|5</t>
  </si>
  <si>
    <t>纹章:绮罗星</t>
  </si>
  <si>
    <t>LastWords||AddToHand|1611301|1</t>
  </si>
  <si>
    <t>绮罗星</t>
  </si>
  <si>
    <t>Play||If|Combo&amp;5||Crest&amp;1|{LastWords||Damage|Enemy-Leader|1}|{LastWords||AddToHand|1611301|1}</t>
  </si>
  <si>
    <t>美妆少女·克洛伊</t>
  </si>
  <si>
    <t>Enhance&amp;8||HandSummon|Select&amp;1-Allied-Other-Follower</t>
  </si>
  <si>
    <t>Enhance&amp;8||ReturnToHand|ThisCard</t>
  </si>
  <si>
    <t>风之法则·艾云尼亚</t>
  </si>
  <si>
    <t>Fanfare||If|Skybound||EP|1</t>
  </si>
  <si>
    <t>彗星</t>
  </si>
  <si>
    <t>Play||If|{Cards|Allied-Field-Evolved-Follower}&gt;0||Draw|1</t>
  </si>
  <si>
    <t>亚尔夫海姆</t>
  </si>
  <si>
    <t>Play||Mode&amp;1|{Draw|1}</t>
  </si>
  <si>
    <t>Engage&amp;0||Mode&amp;1|{Discard|Select&amp;1-Allied-Trait:7-Follower||AddToHand|1470402@1470401@1470403|1}|{Destroy|ThisCard||+1/+1|Select&amp;1-Allied-Hand-Trait:7-Follower}</t>
  </si>
  <si>
    <t>Fanfare||Summon|1070402|1</t>
  </si>
  <si>
    <t>Enhance&amp;6||Evolve|ThisCard</t>
  </si>
  <si>
    <t>When|ThisCard|Evolve||Evolve|Allied-Trait:6-LeftMost&amp;1-Follower||Give|It|{Ward}</t>
  </si>
  <si>
    <t>Fanfare||AddToHand|1570102|1||Give|It|{Fanfare||+1/+0|Allied-Field-Trait:6-Follower}</t>
  </si>
  <si>
    <t>When|Allied-Turn-Start||Summon|1070402|1</t>
  </si>
  <si>
    <t>LastWords||Crest&amp;1|{When|Allied-Turn-Start||Summon|1070402|1}</t>
  </si>
  <si>
    <t>Fanfare||ReturnToDeck|Select&amp;2-Allied-Other-Card</t>
  </si>
  <si>
    <t>Fanfare||AddToHand|1070405|2||Give|It|{LastWords||Draw|1}</t>
  </si>
  <si>
    <t>FClass</t>
    <phoneticPr fontId="11" type="noConversion"/>
  </si>
  <si>
    <t>SClass</t>
    <phoneticPr fontId="11" type="noConversion"/>
  </si>
  <si>
    <t>FShadows</t>
    <phoneticPr fontId="11" type="noConversion"/>
  </si>
  <si>
    <t>SShadows</t>
    <phoneticPr fontId="11" type="noConversion"/>
  </si>
  <si>
    <t>FCombo</t>
    <phoneticPr fontId="11" type="noConversion"/>
  </si>
  <si>
    <t>SCombo</t>
    <phoneticPr fontId="11" type="noConversion"/>
  </si>
  <si>
    <t>FRally</t>
    <phoneticPr fontId="11" type="noConversion"/>
  </si>
  <si>
    <t>SRally</t>
    <phoneticPr fontId="11" type="noConversion"/>
  </si>
  <si>
    <t>FFaith</t>
    <phoneticPr fontId="11" type="noConversion"/>
  </si>
  <si>
    <t>SFaith</t>
    <phoneticPr fontId="11" type="noConversion"/>
  </si>
  <si>
    <t>协作</t>
    <phoneticPr fontId="11" type="noConversion"/>
  </si>
  <si>
    <t>信仰</t>
    <phoneticPr fontId="11" type="noConversion"/>
  </si>
  <si>
    <t>不消费EP即可进化</t>
    <phoneticPr fontId="11" type="noConversion"/>
  </si>
  <si>
    <t>不消费SEP即可超进化</t>
    <phoneticPr fontId="11" type="noConversion"/>
  </si>
  <si>
    <t>When|Allied-Turn-End||If|Combo&amp;4||Countdown+1|ThisCard</t>
  </si>
  <si>
    <t>Fanfare||Crest&amp;1|{When|Allied-Turn-End||Draw|1}|{When|Allied-Turn-End||If|Combo&amp;4||Countdown+1|ThisCard}</t>
  </si>
  <si>
    <t>Fanfare||Crest&amp;1|{When|Allied-Turn-End||Damage|Enemy-Leader|2}|{When|Allied-Turn-End||If|Combo&amp;4||Countdown+1|ThisCard}</t>
  </si>
  <si>
    <t>百褶裙莴苣</t>
  </si>
  <si>
    <t>Fanfare||Crest&amp;1|{When|Allied-Turn-End||Destroy|Random&amp;1-Enemy-Follower}|{When|Allied-Turn-End||If|Combo&amp;4||Countdown+1|ThisCard}</t>
  </si>
  <si>
    <t>1、修复了复制卡牌不清空启动攻击状态的bug</t>
    <phoneticPr fontId="11" type="noConversion"/>
  </si>
  <si>
    <t>2、修复了$X被限制的bug</t>
    <phoneticPr fontId="11" type="noConversion"/>
  </si>
  <si>
    <t>1、增加了「对局日志」，方便复查Bug</t>
    <phoneticPr fontId="11" type="noConversion"/>
  </si>
  <si>
    <t>3、增加了「不消费EP即可进化」和「不消费SEP即可超进化」</t>
    <phoneticPr fontId="11" type="noConversion"/>
  </si>
  <si>
    <t>星云-基础卡牌v1.012</t>
    <phoneticPr fontId="11" type="noConversion"/>
  </si>
  <si>
    <t>Strike||Destroy|Allied-Amulet</t>
  </si>
  <si>
    <t>LastWords||Summon|1060401|1</t>
    <phoneticPr fontId="11" type="noConversion"/>
  </si>
  <si>
    <t>Play||Summon|1060401|1</t>
    <phoneticPr fontId="11" type="noConversion"/>
  </si>
  <si>
    <t>圣兽</t>
  </si>
  <si>
    <t>LastWords||Summon|1060402|1</t>
    <phoneticPr fontId="11" type="noConversion"/>
  </si>
  <si>
    <t>更新时间：2025-10-31</t>
    <phoneticPr fontId="11" type="noConversion"/>
  </si>
  <si>
    <t>更新时间：2025-11-1</t>
    <phoneticPr fontId="11" type="noConversion"/>
  </si>
  <si>
    <t>星云-基础卡牌v1.013</t>
    <phoneticPr fontId="11" type="noConversion"/>
  </si>
  <si>
    <t>2、新增关键字「血池」和「血祭」，更新「狂猎恶魔」效果</t>
    <phoneticPr fontId="11" type="noConversion"/>
  </si>
  <si>
    <t>血池</t>
    <phoneticPr fontId="11" type="noConversion"/>
  </si>
  <si>
    <t>血祭</t>
    <phoneticPr fontId="11" type="noConversion"/>
  </si>
  <si>
    <t>BloodPool</t>
    <phoneticPr fontId="11" type="noConversion"/>
  </si>
  <si>
    <t>Sacrifice</t>
    <phoneticPr fontId="11" type="noConversion"/>
  </si>
  <si>
    <t>FBloodPool</t>
    <phoneticPr fontId="11" type="noConversion"/>
  </si>
  <si>
    <t>SBloodPool</t>
    <phoneticPr fontId="11" type="noConversion"/>
  </si>
  <si>
    <t>Fanfare||If|Sacrifice&amp;3||Give|ThisCard|{Drain}</t>
  </si>
  <si>
    <t>LastWords||Summon|1260401|1</t>
    <phoneticPr fontId="11" type="noConversion"/>
  </si>
  <si>
    <t>绯焰舞姬·安苏莉娅</t>
  </si>
  <si>
    <t>Fanfare||Give|Allied-Field-Forestcraft-Follower|{Barrier}</t>
  </si>
  <si>
    <t>可爱如琬似花·玛娜玛尔</t>
  </si>
  <si>
    <t>When|Allied-Turn-End||Evolve|ThisCard</t>
  </si>
  <si>
    <t>When|ThisCard|Evolve||Damage|Enemy-Follower|1</t>
  </si>
  <si>
    <t>爱恨舞者·晧&amp;曜</t>
  </si>
  <si>
    <t>Strike||Restore|Allied-Follower&amp;Leader|3</t>
  </si>
  <si>
    <t>十天众统领·希耶提</t>
  </si>
  <si>
    <t>真王之刃·黄金骑士</t>
  </si>
  <si>
    <t>绽放的肌肉·菲奥莉托</t>
  </si>
  <si>
    <t>如火斗志·菲泽</t>
  </si>
  <si>
    <t>冰心霸王·艾格罗瓦尔</t>
  </si>
  <si>
    <t>Fanfare||Damage|Enemy-Follower|3</t>
  </si>
  <si>
    <t>迷茫的狮子·莫德雷德</t>
  </si>
  <si>
    <t>决心之辉龙·亚瑟</t>
  </si>
  <si>
    <t>Evolve||Summon|1621401|1</t>
  </si>
  <si>
    <t>Evolve||Summon|1621402|1</t>
    <phoneticPr fontId="11" type="noConversion"/>
  </si>
  <si>
    <t>信念腿法·兰德尔</t>
  </si>
  <si>
    <t>Enhance&amp;5||Give|ThisCard|{Storm}</t>
  </si>
  <si>
    <t>Fanfare||Mode&amp;1|{SuperEvolve|ThisCard}|{Damage|Enemy-Follower|4}|{Restore|Allied-Leader|4}||Change|Enhance&amp;9||Mode&amp;3|{SuperEvolve|ThisCard}|{Damage|Enemy-Follower|4}|{Restore|Allied-Leader|4}</t>
  </si>
  <si>
    <t>Fanfare||If|Skybound||Evolve|Allied-Follower||Change|If|SuperSkybound||SuperEvolve|Allied-Follower</t>
  </si>
  <si>
    <t>缅怀之火·埃尔默特</t>
  </si>
  <si>
    <t>Fanfare||Remove|All|Select&amp;1-Enemy-Field-Follower||Damage|It|3</t>
  </si>
  <si>
    <t>能量外溢</t>
  </si>
  <si>
    <t>Play||Mode&amp;1|{Draw|1||Damage|Random&amp;1-Enemy-Follower|4}|{Draw|2||Damage|Random&amp;2-Enemy-Follower|4||Damage|Allied-Leader|2}</t>
  </si>
  <si>
    <t>荆棘旅途·米蕾耶&amp;莉赛特</t>
  </si>
  <si>
    <t>报仇的占卜师·艾塞克莱因</t>
  </si>
  <si>
    <t>Fanfare||Damage|Select&amp;2-Enemy-Follower|4||EarthSigil|2</t>
  </si>
  <si>
    <t>Fanfare||Summon|1631303|1||If|EarthRite&amp;2||Evolve|It||Evolve|ThisCard</t>
  </si>
  <si>
    <t>符文秘术</t>
  </si>
  <si>
    <t>Play||Damage|Enemy-Follower|6||Restore|Allied-Leader|3</t>
  </si>
  <si>
    <t>流浪的家庭教师·斯芙拉玛尔</t>
  </si>
  <si>
    <t>When|Allied-Turn-End||Spellboost|Hand-Card|X||X=Attack|ThisCard</t>
  </si>
  <si>
    <t>不可思议的哲学家·菲拉索佩娅</t>
  </si>
  <si>
    <t>世界的伙伴·佐伊</t>
  </si>
  <si>
    <t>Fanfare||MaxPP|1</t>
  </si>
  <si>
    <t>Enhance&amp;10||Give|ThisCard|{Storm}</t>
  </si>
  <si>
    <t>Enhance&amp;10||Enemy-Turn-End-Until|Give|Allied-Field-Leader|{CantTakeMoreDamage&amp;0}</t>
  </si>
  <si>
    <t>星晶兽吸收之力</t>
  </si>
  <si>
    <t>Play||Banish|Select&amp;1-Enemy-Field-Card||SameNameToHand|It</t>
  </si>
  <si>
    <t>至爱狂轰</t>
  </si>
  <si>
    <t>淳朴的钢铁之躯·无限</t>
  </si>
  <si>
    <t>Fanfare||If|SuperSkybound||Give|ThisCard|{Storm}</t>
  </si>
  <si>
    <t>冰封的命运·伊什米尔</t>
  </si>
  <si>
    <t>Fanfare||If|{MaxPP}=10||Evolve|ThisCard</t>
  </si>
  <si>
    <t>When|ThisCard|Evolve||Damage|Enemy-Follower|3</t>
  </si>
  <si>
    <t>破浪新月</t>
  </si>
  <si>
    <t>纹章:破浪新月</t>
  </si>
  <si>
    <t>When|Allied-Turn-End||+1/+1|Random&amp;1-Allied-Field-Follower</t>
  </si>
  <si>
    <t>Play||Crest&amp;4|{When|Allied-Turn-End||+1/+1|Random&amp;1-Allied-Field-Follower}</t>
  </si>
  <si>
    <t>梅格的挚友·玛丽亲</t>
  </si>
  <si>
    <t>ActivateInHand-When|Allied-OrigCost=3-Follower|SuperEvolve||Allied-Turn-End-Until|Cost$0|ThisCard</t>
  </si>
  <si>
    <t>When|Allied-Turn-End||+1/+1|Random&amp;1-Allied-Field-SuperEvolved-Follower</t>
  </si>
  <si>
    <t>逐海之人·乔尔</t>
  </si>
  <si>
    <t>暗之法则·菲迪埃尔</t>
  </si>
  <si>
    <t>Fanfare||If|Necromancy&amp;6||Reanimate|1||Evolve|It||Reanimate|2||Evolve|It</t>
  </si>
  <si>
    <t>When|Allied-Turn-End||-2/-2|Enemy-Field-Follower</t>
  </si>
  <si>
    <t>生与死之技·涅槃</t>
  </si>
  <si>
    <t>Fanfare||Evolve|Allied-UnEvolved-Follower</t>
  </si>
  <si>
    <t>元素共鸣·巴尔</t>
  </si>
  <si>
    <t>Fanfare||Mode&amp;1|{+1/+1|Random&amp;1-Allied-Field-Other-Follower||+1/+1|ThisCard}|{Damage|Random&amp;1-Enemy-Follower|3}</t>
  </si>
  <si>
    <t>爱的旅人·萨堤洛斯</t>
  </si>
  <si>
    <t>霸空武神·哪吒</t>
  </si>
  <si>
    <t>When|Allied-Turn-End||Damage|Random&amp;1-Enemy-Follower|4||Damage|Random&amp;1-Enemy-Follower|2</t>
  </si>
  <si>
    <t>妖异利刃</t>
  </si>
  <si>
    <t>纹章:妖异利刃</t>
  </si>
  <si>
    <t>When|Allied-Turn-End||Damage|Random&amp;1-Enemy-Follower|2||Restore|Allied-Leader|1</t>
  </si>
  <si>
    <t>Play||Crest&amp;2|{When|Allied-Turn-End||Damage|Random&amp;1-Enemy-Follower|2||Restore|Allied-Leader|1}</t>
  </si>
  <si>
    <t>不屈利刃·巴萨拉卡</t>
  </si>
  <si>
    <t>LastWords||Summon|1651402|1</t>
  </si>
  <si>
    <t>憧憬的铁锤·阿尔梅达</t>
  </si>
  <si>
    <t>Enhance&amp;4||Evolve|ThisCard||+1/+1|ThisCard</t>
  </si>
  <si>
    <t>土之法则·伽莱翁</t>
  </si>
  <si>
    <t>When|Allied-Turn-End||If|Unlock-SuperEvolve||Evolve|Random&amp;1-Allied-UnEvolved-UnStriked-Follower</t>
  </si>
  <si>
    <t>魔杖傍身的外科医生·缇可</t>
  </si>
  <si>
    <t>When|Allied-Amulet|Engage||Restore|Allied-Leader|1</t>
  </si>
  <si>
    <t>骑驰天空之艇</t>
  </si>
  <si>
    <t>ActivateInHand-When|Allied-Amulet|Engage||Cost-1|ThisCard</t>
  </si>
  <si>
    <t>Engage&amp;0||Destroy|ThisCard||Evolve|Select&amp;1-Allied-UnEvolved-Follower</t>
  </si>
  <si>
    <t>赞恩教僧侣·索菲娅</t>
  </si>
  <si>
    <t>Fanfare||SearchSummon|Random&amp;1-Cost&lt;3-Follower</t>
  </si>
  <si>
    <t>SuperEvolve||Give|Allied-Field-Other-Follower|{Barrier}</t>
  </si>
  <si>
    <t>沙神的巫女·莎拉</t>
  </si>
  <si>
    <t>Enhance&amp;6||+0/+10|ThisCard</t>
  </si>
  <si>
    <t>Evolve||Destroy|Select&amp;1-Enemy-Damaged-Follower</t>
  </si>
  <si>
    <t>莉莉艾的鼓舞</t>
  </si>
  <si>
    <t>Engage&amp;2||Destroy|ThisCard||Transform|Select&amp;1-Allied-Field-Follower|1661402||Draw|1</t>
  </si>
  <si>
    <t>克己复礼的修女·拉姆蕾达</t>
  </si>
  <si>
    <t>When|Allied-Turn-End||If|{Cards|Field-Evolved-Follower-ThisCard}&gt;0||Damage|Follower|2</t>
  </si>
  <si>
    <t>英雄幻视·托路</t>
  </si>
  <si>
    <t>When|Allied-Amulet|Engage||Give|ThisCard|{Drain}</t>
  </si>
  <si>
    <t>光之法则·龙敖</t>
  </si>
  <si>
    <t>Fanfare||Repeat&amp;6|Damage|Random&amp;1-Enemy-Follower|1||+1/+0|Enemy-Hand-Follower</t>
  </si>
  <si>
    <t>纹章:光之法则·龙敖</t>
  </si>
  <si>
    <t>混沌军势</t>
  </si>
  <si>
    <t>Play||Damage|Enemy-Follower&amp;Leader|3||Change|If|SuperSkybound||Damage|Enemy-Follower&amp;Leader|6</t>
  </si>
  <si>
    <t>向往天空的回归者·卡西乌斯</t>
  </si>
  <si>
    <t>LastWords||AddToHand|1070301|1</t>
  </si>
  <si>
    <t>身无长物唯有石</t>
  </si>
  <si>
    <t>Play||Repeat&amp;6|Damage|Random&amp;1-Enemy-Follower|1</t>
  </si>
  <si>
    <t>严厉的教官·伊尔莎</t>
  </si>
  <si>
    <t>Fanfare||Mode&amp;1|{Repeat&amp;3|Damage|Random&amp;1-Enemy-Follower|4}|{Damage|Enemy-Leader|4}</t>
  </si>
  <si>
    <t>Fanfare||AuxSelect|Select&amp;1-Allied-Hand-Trait:7-Follower||Damage|Enemy-Follower|X||X=Attack|It</t>
  </si>
  <si>
    <t>轰雷闪狼·尤斯提斯</t>
  </si>
  <si>
    <t>Fanfare||If|Skybound||AuxSelect|Select&amp;1-Allied-Field-Other-Follower||Evolve|It||Evolve|ThisCard</t>
  </si>
  <si>
    <t>Clash||Damage|Opposing|3</t>
  </si>
  <si>
    <t>报恩工匠·艾萨克</t>
  </si>
  <si>
    <t>LastWords||AddToHand|1070303|1</t>
  </si>
  <si>
    <t>夜王再起·翔</t>
  </si>
  <si>
    <t>Fanfare||If|Unlock-SuperEvolve||Give|ThisCard|{Barrier}</t>
  </si>
  <si>
    <t>爆燃老大·翼</t>
  </si>
  <si>
    <t>星云-基础卡牌v1.014</t>
    <phoneticPr fontId="11" type="noConversion"/>
  </si>
  <si>
    <t>1、更新官方的「苍穹六龙」卡包（世界的伙伴·佐伊、光之法则·龙敖、爆燃老大·翼有误）</t>
    <phoneticPr fontId="11" type="noConversion"/>
  </si>
  <si>
    <t>基础卡牌、传说揭幕、无限进化、灾杰的继承者、苍穹六龙、星云基础、神眷的棋盘</t>
    <phoneticPr fontId="11" type="noConversion"/>
  </si>
  <si>
    <t>Evolve||Give|Allied-Field-Trait:7-Follower|{Rush}||Give|It|{Bane}</t>
  </si>
  <si>
    <t>1、修复了费用能减到负的bug</t>
    <phoneticPr fontId="11" type="noConversion"/>
  </si>
  <si>
    <t>星云-基础卡牌v1.015</t>
    <phoneticPr fontId="11" type="noConversion"/>
  </si>
  <si>
    <t>独角兽</t>
  </si>
  <si>
    <t>胡狼勇士</t>
  </si>
  <si>
    <t>神力庇佑</t>
  </si>
  <si>
    <t>Play||AuxSelect|Select&amp;1-Enemy-Field-Follower||Banish|It||+1/+3|Random&amp;1-Allied-Field-Follower</t>
  </si>
  <si>
    <t>Enhance&amp;6||AuxSelect|Select&amp;1-Enemy-Field-Follower||Destroy|It</t>
  </si>
  <si>
    <t>战争牧师</t>
  </si>
  <si>
    <t>传教士</t>
  </si>
  <si>
    <t>Fanfare||Mode&amp;1|{Search|Random&amp;1-Amulet}|{AuxSelect|Select&amp;1-Allied-Field-Amulet||SameNameToHand|It}</t>
  </si>
  <si>
    <t>Evolve||AuxSelect|Select&amp;1-Allied-Hand-Amulet||Cost-1|It</t>
  </si>
  <si>
    <t>纹章:天垂之辉迹·卡里俄涅</t>
  </si>
  <si>
    <t>铃晶杖使</t>
  </si>
  <si>
    <t>Fanfare||AuxSelect|Select&amp;1-Enemy-Field-Follower||Damage|It|1||SplitDamage|Enemy-Follower|2</t>
  </si>
  <si>
    <t>净天之角·赫忒尔</t>
  </si>
  <si>
    <t>Fanfare||Summon|1560301|1</t>
  </si>
  <si>
    <t>When|Allied-Trait:17-Follower|Strike||Damage|Enemy-Follower|2</t>
  </si>
  <si>
    <t>Evolve||AuxSelect|Select&amp;1-Allied-Field-Trait:17-Follower||Mode&amp;1|{Give|It|{Rush}}|{Give|It|{Ward}}</t>
  </si>
  <si>
    <t>神魔之邀</t>
  </si>
  <si>
    <t>Engage&amp;1||AuxSelect|Select&amp;1-Allied-Hand-Card||ReturnToDeck|It||Mode&amp;1|{Draw|1||Restore|Allied-Leader|1}|{Damage|Random&amp;1-Enemy-Follower|4||Damage|Enemy-Leader|1}</t>
  </si>
  <si>
    <t>Fanfare||Restore|Allied-Leader|6||Damage|Enemy-Follower|6</t>
  </si>
  <si>
    <t>辉煌的教团骑士长</t>
  </si>
  <si>
    <t>Fanfare||SearchSummon|Random&amp;1-Havencraft-Cost&lt;4-Follower</t>
  </si>
  <si>
    <t>When|Enemy-Turn-Start||Enemy-Turn-End-Until|Give|Allied-Field-Havencraft-Cost&lt;4-Follower|{Aura}||Enemy-Turn-End-Until|Give|ThisCard|{Aura}</t>
  </si>
  <si>
    <t>Evolve||AuxSelect|Select&amp;1-Enemy-Field-Follower||Damage|It|3</t>
  </si>
  <si>
    <t>怒神官</t>
  </si>
  <si>
    <t>Fanfare||Destroy|Select&amp;1-Allied-Follower||SearchSummon|Random&amp;1-Cost=X-Amulet||X=Cost|It</t>
  </si>
  <si>
    <t>蒙主恩召</t>
  </si>
  <si>
    <t>Engage&amp;0||Destroy|ThisCard||Destroy|Follower</t>
  </si>
  <si>
    <t>圣兽契约</t>
  </si>
  <si>
    <t>LastWords||Summon|1260401|1</t>
  </si>
  <si>
    <t>圣律法典</t>
  </si>
  <si>
    <t>星云-基础卡牌v1.016</t>
    <phoneticPr fontId="11" type="noConversion"/>
  </si>
  <si>
    <t>更新时间：2025-11-4</t>
    <phoneticPr fontId="11" type="noConversion"/>
  </si>
  <si>
    <t>更新时间：2025-11-5</t>
    <phoneticPr fontId="11" type="noConversion"/>
  </si>
  <si>
    <t>星云-基础卡牌v1.017</t>
    <phoneticPr fontId="11" type="noConversion"/>
  </si>
  <si>
    <t>1、「限定目标」修复了检测不到时点，点不了选择的bug</t>
    <phoneticPr fontId="11" type="noConversion"/>
  </si>
  <si>
    <t>2、修复了费用减到负数的bug</t>
    <phoneticPr fontId="11" type="noConversion"/>
  </si>
  <si>
    <t>3、「极艺宗师·拉斐尔」修复了攻击时不触发自身进行攻击时能力的bug</t>
    <phoneticPr fontId="11" type="noConversion"/>
  </si>
  <si>
    <t>LastWords||Summon|1511202|1||Give|It|{Storm}</t>
    <phoneticPr fontId="11" type="noConversion"/>
  </si>
  <si>
    <t>Clash||Crest&amp;3|{When|Allied-Card|Play||If|Combo&amp;3||Countdown-1|ThisCard}|{LastWords||Summon|1511202|1||Give|It|{Storm}}</t>
  </si>
  <si>
    <t>复苏的春风</t>
  </si>
  <si>
    <t>出穗精灵·小秋</t>
  </si>
  <si>
    <t>Play||Search|Random@3-Forestcraft-Cost&lt;2-Follower||Turn-End-Until|Cost$0|It</t>
  </si>
  <si>
    <t>求索精灵·小夏</t>
  </si>
  <si>
    <t>荒牙精灵·小冬</t>
  </si>
  <si>
    <t>坚定的教团骑士</t>
  </si>
  <si>
    <r>
      <t>4、</t>
    </r>
    <r>
      <rPr>
        <sz val="11"/>
        <color theme="1"/>
        <rFont val="新宋体"/>
        <family val="3"/>
        <charset val="134"/>
      </rPr>
      <t>增加了</t>
    </r>
    <r>
      <rPr>
        <sz val="11"/>
        <color theme="1"/>
        <rFont val="新宋体"/>
        <family val="3"/>
        <charset val="134"/>
      </rPr>
      <t>「</t>
    </r>
    <r>
      <rPr>
        <sz val="11"/>
        <color theme="1"/>
        <rFont val="新宋体"/>
        <family val="3"/>
        <charset val="134"/>
      </rPr>
      <t>获得能力时</t>
    </r>
    <r>
      <rPr>
        <sz val="11"/>
        <color theme="1"/>
        <rFont val="新宋体"/>
        <family val="3"/>
        <charset val="134"/>
      </rPr>
      <t>」</t>
    </r>
    <r>
      <rPr>
        <sz val="11"/>
        <color theme="1"/>
        <rFont val="新宋体"/>
        <family val="3"/>
        <charset val="134"/>
      </rPr>
      <t>监听事件</t>
    </r>
    <phoneticPr fontId="11" type="noConversion"/>
  </si>
  <si>
    <t>GetBuff</t>
    <phoneticPr fontId="11" type="noConversion"/>
  </si>
  <si>
    <t>获得能力</t>
    <phoneticPr fontId="11" type="noConversion"/>
  </si>
  <si>
    <t>杰出的教团圣殿骑士</t>
  </si>
  <si>
    <t>When|Enemy-Turn-Start||Enemy-Turn-End-Until|Give|ThisCard|{Clash||Damage|Opposing|1}</t>
  </si>
  <si>
    <t>光明之翼·梅蒽丝</t>
  </si>
  <si>
    <t>天垂之辉迹·卡里俄涅</t>
  </si>
  <si>
    <t>Fanfare||SearchSummon|Random@4-Keyword&amp;Engage-Amulet</t>
  </si>
  <si>
    <t>EngageCost</t>
    <phoneticPr fontId="11" type="noConversion"/>
  </si>
  <si>
    <t>启动费用</t>
    <phoneticPr fontId="11" type="noConversion"/>
  </si>
  <si>
    <t>EngageCost&amp;-99</t>
  </si>
  <si>
    <t>SuperEvolve||Crest&amp;0|{EngageCost&amp;-99}</t>
  </si>
  <si>
    <r>
      <t>5、增加了「</t>
    </r>
    <r>
      <rPr>
        <sz val="11"/>
        <color theme="1"/>
        <rFont val="新宋体"/>
        <family val="3"/>
        <charset val="134"/>
      </rPr>
      <t>启动费用-X</t>
    </r>
    <r>
      <rPr>
        <sz val="11"/>
        <color theme="1"/>
        <rFont val="新宋体"/>
        <family val="3"/>
        <charset val="134"/>
      </rPr>
      <t>」</t>
    </r>
    <r>
      <rPr>
        <sz val="11"/>
        <color theme="1"/>
        <rFont val="新宋体"/>
        <family val="3"/>
        <charset val="134"/>
      </rPr>
      <t>常驻效果</t>
    </r>
    <phoneticPr fontId="11" type="noConversion"/>
  </si>
  <si>
    <t>Enhance&amp;10||MaxDefense|$1</t>
  </si>
  <si>
    <r>
      <t>6、修复了生命最大值无法使用</t>
    </r>
    <r>
      <rPr>
        <sz val="11"/>
        <color theme="1"/>
        <rFont val="新宋体"/>
        <family val="3"/>
        <charset val="134"/>
      </rPr>
      <t>$的bug</t>
    </r>
    <phoneticPr fontId="11" type="noConversion"/>
  </si>
  <si>
    <r>
      <t>7、增加了「上上个限定的目标</t>
    </r>
    <r>
      <rPr>
        <sz val="11"/>
        <color theme="1"/>
        <rFont val="新宋体"/>
        <family val="3"/>
        <charset val="134"/>
      </rPr>
      <t>」</t>
    </r>
    <r>
      <rPr>
        <sz val="11"/>
        <color theme="1"/>
        <rFont val="新宋体"/>
        <family val="3"/>
        <charset val="134"/>
      </rPr>
      <t>常驻效果</t>
    </r>
    <phoneticPr fontId="11" type="noConversion"/>
  </si>
  <si>
    <t>That</t>
    <phoneticPr fontId="11" type="noConversion"/>
  </si>
  <si>
    <t>那张卡牌</t>
    <phoneticPr fontId="11" type="noConversion"/>
  </si>
  <si>
    <r>
      <t>Fanfare||If|Skybound||Crest&amp;2|{When|Enemy-Keyword&amp;Storm-Follower|Strike||If|{Cards|Opposing}=0||Turn-End-Until|-3/+0|</t>
    </r>
    <r>
      <rPr>
        <sz val="11"/>
        <color theme="1"/>
        <rFont val="等线"/>
        <family val="3"/>
        <charset val="134"/>
      </rPr>
      <t>I</t>
    </r>
    <r>
      <rPr>
        <sz val="11"/>
        <color theme="1"/>
        <rFont val="等线"/>
        <family val="3"/>
        <charset val="134"/>
      </rPr>
      <t>t}</t>
    </r>
    <phoneticPr fontId="11" type="noConversion"/>
  </si>
  <si>
    <r>
      <t>When|Enemy-Keyword&amp;Storm-Follower|Strike||If|{Cards|Opposing}=0||Turn-End-Until|-3/+0|</t>
    </r>
    <r>
      <rPr>
        <sz val="11"/>
        <color theme="1"/>
        <rFont val="等线"/>
        <family val="3"/>
        <charset val="134"/>
      </rPr>
      <t>I</t>
    </r>
    <r>
      <rPr>
        <sz val="11"/>
        <color theme="1"/>
        <rFont val="等线"/>
        <family val="3"/>
        <charset val="134"/>
      </rPr>
      <t>t</t>
    </r>
    <phoneticPr fontId="11" type="noConversion"/>
  </si>
  <si>
    <t>璨金王·内布梅什</t>
  </si>
  <si>
    <t>Fanfare||AddToHand|1120401|1||AddToHand|1120403|1</t>
  </si>
  <si>
    <t>Evolve||AuxSelect|Select&amp;1-Allied-Field-Trait:2-Follower||Repeat&amp;2|CopySummon|It||Change|SuperEvolve||Draw|0</t>
  </si>
  <si>
    <t>Evolve||Draw|0||Change|SuperEvolve||AuxSelect|Select&amp;1-Allied-Field-Trait:2-Follower||Repeat&amp;3|CopySummon|It</t>
  </si>
  <si>
    <t>典当行</t>
  </si>
  <si>
    <t>Engage&amp;0||Replicate|Fanfare</t>
  </si>
  <si>
    <t>夺宝狂涛</t>
  </si>
  <si>
    <t>纹章:夺宝狂涛</t>
  </si>
  <si>
    <t>When|Enemy-Follower|Destroy||If|Allied-Turn||AddToHand|1120405@1120401@1120402@1120403|1</t>
  </si>
  <si>
    <t>Play||Crest&amp;1|{When|Enemy-Follower|Destroy||If|Allied-Turn||AddToHand|1120405@1120401@1120402@1120403|1}</t>
  </si>
  <si>
    <t>Enhance&amp;4||Damage|Enemy-Follower|2</t>
  </si>
  <si>
    <t>都市怪盗团</t>
  </si>
  <si>
    <t>黄金雕像</t>
  </si>
  <si>
    <t>Fanfare||Transform|Select&amp;1-Enemy-Field-Follower|1521402</t>
  </si>
  <si>
    <t>Engage&amp;0||AddToHand|1120405@1120401@1120402@1120403|1</t>
  </si>
  <si>
    <t>金鳞御币尊</t>
  </si>
  <si>
    <t>纹章:金鳞御币尊</t>
  </si>
  <si>
    <t>When|Allied-Trait:8-Card|Play||Countdown+1|ThisCard</t>
  </si>
  <si>
    <t>When|Enemy-Turn-End||Countdown-2|ThisCard</t>
  </si>
  <si>
    <t>Strike||AddToHand|1120405@1120401@1120402@1120403|1</t>
  </si>
  <si>
    <t>绒冕大帝</t>
  </si>
  <si>
    <t>LastWords||AddToHand|1120401|1</t>
  </si>
  <si>
    <t>铜爪儿</t>
  </si>
  <si>
    <t>Fanfare||AddToHand|1120405|1||AddToHand|1120403|1</t>
  </si>
  <si>
    <t>Strike||Destroy|Damaged-Opposing</t>
  </si>
  <si>
    <t>无尽黄金号</t>
  </si>
  <si>
    <t>Fanfare||AddToHand|1120405|4</t>
  </si>
  <si>
    <t>安详之眠</t>
  </si>
  <si>
    <t>NoEP</t>
    <phoneticPr fontId="11" type="noConversion"/>
  </si>
  <si>
    <t>NoSEP</t>
    <phoneticPr fontId="11" type="noConversion"/>
  </si>
  <si>
    <t>Play||+1/+1|Select&amp;1-Allied-Field-Follower||Give|It|{NoEP}||If|{Difference|Attack|It|OrigAttack|It}&gt;1||Give|It|{When|Allied-Turn-End||Restore|ThisCard|99}</t>
    <phoneticPr fontId="11" type="noConversion"/>
  </si>
  <si>
    <t>慷慨幼犬</t>
  </si>
  <si>
    <t>Enhance&amp;4||Evolve|ThisCard</t>
  </si>
  <si>
    <t>When|ThisCard|Evolve||+1/+1|Allied-Field-Other-Follower</t>
  </si>
  <si>
    <t>猎犬</t>
  </si>
  <si>
    <t>Enhance&amp;6||+1/+1|Allied-Field-Follower</t>
  </si>
  <si>
    <t>Enhance&amp;6||Summon|1521405|2</t>
  </si>
  <si>
    <t>犬王默武</t>
  </si>
  <si>
    <t>战犬新兵</t>
  </si>
  <si>
    <t>When|Allied-Other-Follower|EnterField||+1/+1|It</t>
  </si>
  <si>
    <t>纹章:犬王默武</t>
  </si>
  <si>
    <t>未来新星·米丽</t>
  </si>
  <si>
    <t>嬉闹牧犬</t>
  </si>
  <si>
    <t>Fanfare||+1/+1|ThisCard</t>
  </si>
  <si>
    <t>Fanfare||Draw|X||X=Cards|Allied-Field-Attack&gt;OrigAttack-Follower</t>
  </si>
  <si>
    <t>忠诚战犬</t>
  </si>
  <si>
    <t>Fanfare||Summon|1520401|2</t>
  </si>
  <si>
    <t>Fanfare||+1/+0|Allied-Field-Follower</t>
  </si>
  <si>
    <t>8、修复了一些bug</t>
    <phoneticPr fontId="11" type="noConversion"/>
  </si>
  <si>
    <t>精奥的创造物</t>
  </si>
  <si>
    <t xml:space="preserve"> 悬丝傀儡</t>
  </si>
  <si>
    <t xml:space="preserve">XSKL </t>
  </si>
  <si>
    <t>Fanfare||AuxSelect|Random&amp;1-Field-Attack$Highest-Follower||+X/+0|Random&amp;0-Field-Follower||AddToHand|1070405|1||$X/+0|It||X=Attack|It</t>
  </si>
  <si>
    <t>When|ThisCard|EnterField||AddToHand|1070405|1</t>
  </si>
  <si>
    <t>When|Allied-Trait:6-Follower|AddToHand||+1/+0|It</t>
  </si>
  <si>
    <t>Fanfare||Enemy-Summon|1070402|4||AddToHand|1070405|4</t>
  </si>
  <si>
    <t>更新时间：2025-11-7</t>
    <phoneticPr fontId="11" type="noConversion"/>
  </si>
  <si>
    <t>1、录入对手步骤出现差错时会尝试直接退出excel，保留现场情况</t>
    <phoneticPr fontId="11" type="noConversion"/>
  </si>
  <si>
    <t>星云-基础卡牌v1.021</t>
    <phoneticPr fontId="11" type="noConversion"/>
  </si>
  <si>
    <t>漂浪骑士·芭澜</t>
  </si>
  <si>
    <t>Fanfare||Mode&amp;1|{Destroy|Enemy-UnStriked-Follower}|{Destroy|Enemy-Striked-Follower}</t>
  </si>
  <si>
    <t>When|Enemy-Follower|Destroy||+1/+1|ThisCard</t>
  </si>
  <si>
    <t>When|ThisCard|Increased||InOrder&amp;1|{Damage|Enemy-Follower|1}|{Draw|1}|{Give|ThisCard|{Storm}}</t>
  </si>
  <si>
    <t>When|Allied-Card|Play||Countdown-1|ThisCard</t>
  </si>
  <si>
    <t>秘园妖精</t>
  </si>
  <si>
    <t>Fanfare||AddToHand|1010402|1||Allied-Turn-End-Until|Cost$0|It</t>
  </si>
  <si>
    <t>When|ThisCard|EnterField||NamingCount|Combo|1</t>
  </si>
  <si>
    <t>SuperEvolve||ReturnToHand|Follower</t>
  </si>
  <si>
    <t>Enhance&amp;2||Summon|1510102|1</t>
  </si>
  <si>
    <t>Fanfare||Summon|1010402|3</t>
  </si>
  <si>
    <t>纹章:芙罗拉</t>
  </si>
  <si>
    <t>Play||+2/+2|Select&amp;1-Allied-Field-Follower||If|Unlock-SuperEvolve||Give|It|{Barrier}</t>
  </si>
  <si>
    <t>1、录入了「神眷的棋盘」主教（天垂之辉迹·卡里俄涅、坚定的教团骑士、杰出的教团圣殿骑士有误）</t>
    <phoneticPr fontId="11" type="noConversion"/>
  </si>
  <si>
    <t>星云-基础卡牌v1.018</t>
    <phoneticPr fontId="11" type="noConversion"/>
  </si>
  <si>
    <t>1、鲨咕咕今天也很努力了呢~</t>
    <phoneticPr fontId="11" type="noConversion"/>
  </si>
  <si>
    <t>星云-基础卡牌v1.019</t>
    <phoneticPr fontId="11" type="noConversion"/>
  </si>
  <si>
    <t>星云-基础卡牌v1.020</t>
    <phoneticPr fontId="11" type="noConversion"/>
  </si>
  <si>
    <t>星云-基础卡牌v1.022</t>
    <phoneticPr fontId="11" type="noConversion"/>
  </si>
  <si>
    <t>1、为主教的「神圣猎鹰」和「壮丽大神隼」和「圣炎猛虎」增加「圣兽」类型，更新主教的「亚巴顿」效果</t>
    <phoneticPr fontId="11" type="noConversion"/>
  </si>
  <si>
    <t>神眷的棋盘</t>
    <phoneticPr fontId="11" type="noConversion"/>
  </si>
  <si>
    <t>LastWords||AddToHand|1571305|1</t>
    <phoneticPr fontId="11" type="noConversion"/>
  </si>
  <si>
    <t>更新时间：2025-11-8</t>
    <phoneticPr fontId="11" type="noConversion"/>
  </si>
  <si>
    <t>星云-基础卡牌v1.023</t>
    <phoneticPr fontId="11" type="noConversion"/>
  </si>
  <si>
    <t>Fanfare||Repeat&amp;2|SameSummon|Random&amp;1-Allied-ThisMatch@Destroy-Trait:7-Follower</t>
  </si>
  <si>
    <t>纹章:出穗精灵·小秋</t>
  </si>
  <si>
    <t>纹章:荒牙精灵·小冬</t>
  </si>
  <si>
    <t>纹章:求索精灵·小夏</t>
  </si>
  <si>
    <t>When|Allied-Trait:6-DifferentName&amp;1570102-Follower|Destroy||If|TimesPerTurn&amp;1|{Attack|It}&gt;3||Summon|1570102|1</t>
  </si>
  <si>
    <t>When|Allied-Follower|Strike||+1/+0|Allied-Hand-Trait:6-Follower</t>
  </si>
  <si>
    <t>SuperEvolve||Crest&amp;0|{When|Allied-Trait:6-DifferentName&amp;1570102-Follower|Destroy||If|TimesPerTurn&amp;1|{Attack|It}&gt;3||Summon|1570102|1}</t>
  </si>
  <si>
    <t>星云-基础卡牌v1.024</t>
    <phoneticPr fontId="11" type="noConversion"/>
  </si>
  <si>
    <t>星云-基础卡牌v1.025</t>
    <phoneticPr fontId="11" type="noConversion"/>
  </si>
  <si>
    <t>1、修复了攻击主战者触发交战时的bug</t>
    <phoneticPr fontId="11" type="noConversion"/>
  </si>
  <si>
    <t>2、修复了守护覆盖潜行的bug</t>
    <phoneticPr fontId="11" type="noConversion"/>
  </si>
  <si>
    <t>3、修复了限1次在其他条件不满足时也增加次数的bug</t>
    <phoneticPr fontId="11" type="noConversion"/>
  </si>
  <si>
    <t>4、开局粘贴牌组如果对手牌组换牌完全一样会弹窗提示，以免粘贴失败</t>
    <phoneticPr fontId="11" type="noConversion"/>
  </si>
  <si>
    <t>8+</t>
    <phoneticPr fontId="11" type="noConversion"/>
  </si>
  <si>
    <t>5、增加了费用曲线</t>
    <phoneticPr fontId="11" type="noConversion"/>
  </si>
  <si>
    <t>Fanfare||Summon|1520401|1</t>
  </si>
  <si>
    <t>When|Allied-Field-Follower|Increased||If|TimesPerTurn&amp;3|{Cards|Allied-Field-Card}&lt;5||Summon|1520401|1</t>
  </si>
  <si>
    <t>SuperEvolve||Crest&amp;0|{When|Allied-Field-Follower|Increased||If|TimesPerTurn&amp;3|{Cards|Allied-Field-Card}&lt;5||Summon|1520401|1}</t>
  </si>
  <si>
    <t>星云-基础卡牌v1.026</t>
    <phoneticPr fontId="11" type="noConversion"/>
  </si>
  <si>
    <t>1、修复了攻击主战者再攻击随从导致的输出bug</t>
    <phoneticPr fontId="11" type="noConversion"/>
  </si>
  <si>
    <t>2、修复了随机0的bug</t>
    <phoneticPr fontId="11" type="noConversion"/>
  </si>
  <si>
    <t>3、现在反复点回合结束不会触发回合结束效果</t>
    <phoneticPr fontId="11" type="noConversion"/>
  </si>
  <si>
    <t>LastWords||Search|Random&amp;1-Cost&lt;4-Card||Allied-Turn-End-Until|Cost$0|It</t>
  </si>
  <si>
    <t>SuperEvolve||Crest&amp;6|{When|Allied-Turn-End||InOrder&amp;1|{Destroy|Random&amp;1-Enemy-Follower}|{Draw|2}|{Restore|Allied-Leader|3}}</t>
  </si>
  <si>
    <t>坚韧战尸</t>
  </si>
  <si>
    <t>Enhance&amp;4||Give|ThisCard|{Rush}||Give|ThisCard|{Bane}</t>
  </si>
  <si>
    <t>骷髅士兵</t>
  </si>
  <si>
    <t>命定的别离</t>
  </si>
  <si>
    <t>双生血族</t>
  </si>
  <si>
    <t>LastWords||Summon|1050402|2</t>
  </si>
  <si>
    <t>月影死神</t>
  </si>
  <si>
    <t>怨念融合怪</t>
  </si>
  <si>
    <t>Fanfare||Summon|1350402|1</t>
  </si>
  <si>
    <t>LastWords||Replicate|Fanfare</t>
  </si>
  <si>
    <t>利爪的猛击</t>
  </si>
  <si>
    <t>珍存的须臾</t>
  </si>
  <si>
    <t>Play||If|Sacrifice&amp;2||Draw|1</t>
  </si>
  <si>
    <t>僭夺永恒的决意</t>
  </si>
  <si>
    <t>血契之灾龙</t>
  </si>
  <si>
    <t>Fanfare||If|Sacrifice&amp;8||Give|ThisCard|{CanAttackTimes&amp;2}</t>
  </si>
  <si>
    <t>Strike||Restore|Allied-Leader|2||Damage|Enemy-Leader|2||Give|ThisCard|{Barrier}</t>
  </si>
  <si>
    <t>哀叹的眷族</t>
  </si>
  <si>
    <t>血色婚礼</t>
  </si>
  <si>
    <t>Engage&amp;0||Destroy|ThisCard||AuxSelect|Select&amp;2-Allied-Field-Follower||+1/+1|It||Give|It|{Rush}</t>
  </si>
  <si>
    <t>星云-基础卡牌v1.027</t>
    <phoneticPr fontId="11" type="noConversion"/>
  </si>
  <si>
    <t>双倍</t>
    <phoneticPr fontId="11" type="noConversion"/>
  </si>
  <si>
    <t>DoubleCount</t>
    <phoneticPr fontId="11" type="noConversion"/>
  </si>
  <si>
    <t>HalveCount</t>
    <phoneticPr fontId="11" type="noConversion"/>
  </si>
  <si>
    <t>一半</t>
    <phoneticPr fontId="11" type="noConversion"/>
  </si>
  <si>
    <t>1、修复了X双倍的bug</t>
    <phoneticPr fontId="11" type="noConversion"/>
  </si>
  <si>
    <t>2、修复了回合开始再取消也会加回合的bug</t>
    <phoneticPr fontId="11" type="noConversion"/>
  </si>
  <si>
    <t>3、限定目标的能力关键词里现在有血祭</t>
    <phoneticPr fontId="11" type="noConversion"/>
  </si>
  <si>
    <t>亡灵御主·厄洛托丝</t>
  </si>
  <si>
    <t>Fanfare||If|{Cards|Allied-Field-Card}&lt;5|Necromancy&amp;3||Reanimate|5</t>
  </si>
  <si>
    <t>星云-基础卡牌v1.028</t>
    <phoneticPr fontId="11" type="noConversion"/>
  </si>
  <si>
    <t>1、失去本能力</t>
    <phoneticPr fontId="11" type="noConversion"/>
  </si>
  <si>
    <t>星云-基础卡牌v1.029</t>
    <phoneticPr fontId="11" type="noConversion"/>
  </si>
  <si>
    <t>1、修复了进场不重置费用的bug</t>
    <phoneticPr fontId="11" type="noConversion"/>
  </si>
  <si>
    <t>2、修复了不满足条件依旧触发选择的bug</t>
    <phoneticPr fontId="11" type="noConversion"/>
  </si>
  <si>
    <t>神圣誓盟</t>
  </si>
  <si>
    <t>Enhance&amp;7||Summon|1060401|2</t>
  </si>
  <si>
    <t>Play||Repeat&amp;2|Damage|Random&amp;1-Enemy-Follower|X||X=DoubleCount|Cards|Allied-Field-Trait:17-Follower</t>
  </si>
  <si>
    <t>星云-基础卡牌v1.029.1</t>
    <phoneticPr fontId="11" type="noConversion"/>
  </si>
  <si>
    <t>更新时间：2025-11-9</t>
    <phoneticPr fontId="11" type="noConversion"/>
  </si>
  <si>
    <t>1、录入了主教银卡神圣誓盟</t>
    <phoneticPr fontId="11" type="noConversion"/>
  </si>
  <si>
    <t>星云-基础卡牌v1.030</t>
    <phoneticPr fontId="11" type="noConversion"/>
  </si>
  <si>
    <t>1、修复对手攻击时不正确记录交战对手的bug</t>
    <phoneticPr fontId="11" type="noConversion"/>
  </si>
  <si>
    <t>Evolve||Summon|1020401|3</t>
  </si>
  <si>
    <t>SuperEvolve||Give|Allied-Field-Trait:2-Follower|{Rush}||+1/+2|Allied-Field-Trait:2-Follower</t>
  </si>
  <si>
    <t>When|ThisCard|LeaveField||Draw|1</t>
  </si>
  <si>
    <t>Fanfare||Countdown+1|Allied-SameName&amp;1510402-Crest</t>
  </si>
  <si>
    <t>Fanfare||Countdown+1|Allied-SameName&amp;1510302-Crest</t>
  </si>
  <si>
    <t>Fanfare||Countdown+1|Allied-SameName&amp;1510203-Crest</t>
  </si>
  <si>
    <t>血之悲愿·茉拉艾儿</t>
  </si>
  <si>
    <t>Fuse|Keyword&amp;Sacrifice-Card</t>
  </si>
  <si>
    <t>贪婪从魔·露提</t>
  </si>
  <si>
    <t>Evolve||Mode&amp;1|{Draw|2}|{Destroy|Select&amp;1-Enemy-Follower}</t>
  </si>
  <si>
    <t>Play||Damage|Leader|1</t>
  </si>
  <si>
    <t>窃血者</t>
  </si>
  <si>
    <t>噬魂巨蝠</t>
  </si>
  <si>
    <t>Fanfare||Mode&amp;1|{If|Necromancy&amp;4||Summon|1050403|4}|{If|Sacrifice&amp;4||Summon|1050402|4}</t>
  </si>
  <si>
    <t>厄洛托丝</t>
  </si>
  <si>
    <t>Clash||If|{Cards|Allied-Field-Trait:5-Follower}&gt;0||Give|ThisCard|{Barrier}</t>
  </si>
  <si>
    <t>Clash||If|{Cards|Allied-Field-Trait:5-Follower}&gt;0||Give|ThisCard|{Barrier}</t>
    <phoneticPr fontId="11" type="noConversion"/>
  </si>
  <si>
    <t>铭魂的死灵法师</t>
  </si>
  <si>
    <t>Enhance&amp;8||Reanimate|3||Reanimate|2||Reanimate|1||Reanimate|0</t>
  </si>
  <si>
    <t>Strike||+1/+1|Allied-Field-Follower</t>
  </si>
  <si>
    <t>Strike||Give|Allied-Field-Trait:5-Follower|{LastWords||Restore|Allied-Leader|1}</t>
  </si>
  <si>
    <t>邪奏的恶魔</t>
  </si>
  <si>
    <t>Fanfare||AuxSelect|Select&amp;1-Enemy-Field-Follower||Draw|0</t>
  </si>
  <si>
    <t>Evolve||Destroy|Select&amp;1-Allied-Other-Follower||Destroy|Select&amp;1-Enemy-Follower</t>
  </si>
  <si>
    <t>被选中的勇士</t>
  </si>
  <si>
    <t>Enhance&amp;10||Evolve|ThisCard||Enemy-Turn-End-Until|Give|ThisCard|{Ward}</t>
  </si>
  <si>
    <t>When|Enemy-Turn-Start||Enemy-Turn-End-Until|Give|ThisCard|{CantTakeMoreDamage&amp;1}</t>
  </si>
  <si>
    <t>When|ThisCard|Evolve||Destroy|Random&amp;1-Enemy-Attack$Highest-Follower</t>
  </si>
  <si>
    <t>千锋总军·玛鲁塞卡</t>
  </si>
  <si>
    <t>Fanfare||+1/+1|Allied-Field-Follower</t>
  </si>
  <si>
    <t>Evolve||+2/+2|Allied-Hand-Follower</t>
  </si>
  <si>
    <t>SuperEvolve||+3/+3|Allied-Deck-Follower</t>
  </si>
  <si>
    <t>暴乱镇压者</t>
  </si>
  <si>
    <t>Strike||If|{Cards|Field-Evolved-Follower-Opposing}&gt;0||SuperEvolve|ThisCard</t>
  </si>
  <si>
    <t>友伴大汪</t>
  </si>
  <si>
    <t>嬉闹小黄</t>
  </si>
  <si>
    <t>慷慨小白</t>
  </si>
  <si>
    <t>星云-基础卡牌v1.031</t>
    <phoneticPr fontId="11" type="noConversion"/>
  </si>
  <si>
    <t>更新时间：2025-11-10</t>
    <phoneticPr fontId="11" type="noConversion"/>
  </si>
  <si>
    <t>Enhance&amp;5||+3/+3|ThisCard||Give|ThisCard|{Barrier}</t>
  </si>
  <si>
    <t>LastWords||If|Necromancy&amp;2||AddToHand|1350402|1</t>
  </si>
  <si>
    <t>Evolve||Give|Allied-Field-Trait:5-Follower|{Rush}||+2/+0|Allied-Field-Trait:5-Follower</t>
  </si>
  <si>
    <t>Fanfare||Damage|Allied-Leader|3||Summon|1250402|3</t>
  </si>
  <si>
    <t>LastWords||If|Necromancy&amp;6||Restore|Allied-Leader|4</t>
  </si>
  <si>
    <t>Enhance&amp;8||Damage|Enemy-Leader|4</t>
  </si>
  <si>
    <t>星云-基础卡牌v1.032</t>
    <phoneticPr fontId="11" type="noConversion"/>
  </si>
  <si>
    <t>Fanfare||AddToHand|1571304|2||Cost$0|It</t>
    <phoneticPr fontId="11" type="noConversion"/>
  </si>
  <si>
    <t>Play||Mode&amp;1|{AddToHand|1470401|1}|{AddToHand|1470402|1}|{AddToHand|1470403|1}</t>
  </si>
  <si>
    <t>万疆魔帝·路德维希</t>
  </si>
  <si>
    <t>Fanfare||Damage|Enemy-Follower&amp;Leader|1||Change|If|{NamingCount&amp;BloodPool}&gt;29||Damage|Enemy-Follower&amp;Leader|6</t>
  </si>
  <si>
    <t>LastWords||Damage|Enemy-Follower&amp;Leader|1||Change|If|{Shadows}&gt;29||Damage|Enemy-Follower&amp;Leader|6</t>
  </si>
  <si>
    <t>星云-基础卡牌v1.033</t>
    <phoneticPr fontId="11" type="noConversion"/>
  </si>
  <si>
    <t>更新时间：2025-11-11</t>
    <phoneticPr fontId="11" type="noConversion"/>
  </si>
  <si>
    <t>2、录入了「神眷的棋盘」主教、皇家的新卡，调整了精灵的部分单卡</t>
    <phoneticPr fontId="11" type="noConversion"/>
  </si>
  <si>
    <t>1、录入了「神眷的棋盘」梦魇的新卡万疆魔帝·路德维希</t>
    <phoneticPr fontId="11" type="noConversion"/>
  </si>
  <si>
    <t>1、录入了「神眷的棋盘」梦魇的新卡（窃血者、邪奏的恶魔有误）</t>
    <phoneticPr fontId="11" type="noConversion"/>
  </si>
  <si>
    <t>1、对「神眷的棋盘」梦魇的部分卡片进行了效果调整更正（邪奏的恶魔有误，但可以通过双方认可的方式使用）</t>
    <phoneticPr fontId="11" type="noConversion"/>
  </si>
  <si>
    <t>星云-基础卡牌v1.034</t>
    <phoneticPr fontId="11" type="noConversion"/>
  </si>
  <si>
    <t>1、修复了选择空选的对局bug</t>
    <phoneticPr fontId="11" type="noConversion"/>
  </si>
  <si>
    <t>星云-基础卡牌v1.035</t>
    <phoneticPr fontId="11" type="noConversion"/>
  </si>
  <si>
    <t>更新时间：2025-11-12</t>
    <phoneticPr fontId="11" type="noConversion"/>
  </si>
  <si>
    <t>1、修复了交战对手敌我不分的bug</t>
    <phoneticPr fontId="11" type="noConversion"/>
  </si>
  <si>
    <t>When|Enemy-Turn-Start||Enemy-Turn-End-Until|Give|ThisCard|{Clash||+1/+1|ThisCard}</t>
  </si>
  <si>
    <t>When|ThisCard|GetBuff||If|TimesPerTurn&amp;1||Restore|Allied-Leader|1</t>
  </si>
  <si>
    <t>When|ThisCard|GetBuff||If|TimesPerTurn&amp;1||Damage|Enemy-Leader|1</t>
  </si>
  <si>
    <t>LastWords||If|Allied-Turn||AddToHand|1250402|1</t>
  </si>
  <si>
    <t>Fanfare||AddToHand|1550403|1||If|Sacrifice&amp;2||PP|1</t>
    <phoneticPr fontId="11" type="noConversion"/>
  </si>
  <si>
    <t>Fanfare||AddToHand|1550403|1</t>
  </si>
  <si>
    <t>Play||Give|Select&amp;1-Allied-Field-Follower|{Rush}</t>
  </si>
  <si>
    <t>怨念缝合怪</t>
  </si>
  <si>
    <t>Fanfare||If|{Fuse&amp;Cards}&gt;0||Damage|Enemy-Follower|2||Damage|Leader|2||Give|ThisCard|{Bane}</t>
  </si>
  <si>
    <t>星云-基础卡牌v1.036</t>
    <phoneticPr fontId="11" type="noConversion"/>
  </si>
  <si>
    <t>1、更新了「神眷的棋盘」梦魇、主教的部分卡片</t>
    <phoneticPr fontId="11" type="noConversion"/>
  </si>
  <si>
    <t>星云-基础卡牌v1.037</t>
    <phoneticPr fontId="11" type="noConversion"/>
  </si>
  <si>
    <t>3、录入了「神眷的棋盘」精灵、超越者</t>
    <phoneticPr fontId="11" type="noConversion"/>
  </si>
  <si>
    <t>4、更新了「神眷的棋盘」精灵、超越者</t>
  </si>
  <si>
    <t>10、更新了人偶超越者的卡牌改动</t>
  </si>
  <si>
    <t>1、更新了超越者的「神创塑炼」的token</t>
  </si>
  <si>
    <t>1、更新了「神眷的棋盘」超越者</t>
  </si>
  <si>
    <t>1、更新了「神眷的棋盘」精灵、超越者</t>
  </si>
  <si>
    <t>2、更新了「神眷的棋盘」超越者的部分卡片</t>
  </si>
  <si>
    <t>1、更新了「神眷的棋盘」精灵、超越者的部分卡片</t>
  </si>
  <si>
    <t>1、更新了「神眷的棋盘」精灵、主教、超越者</t>
    <phoneticPr fontId="11" type="noConversion"/>
  </si>
  <si>
    <t>1、更新了「神眷的棋盘」超越者的部分卡片</t>
    <phoneticPr fontId="11" type="noConversion"/>
  </si>
  <si>
    <t>9、更新了「神眷的棋盘」精灵、主教、超越者，录入了皇家护卫</t>
    <phoneticPr fontId="11" type="noConversion"/>
  </si>
  <si>
    <t>1、更新了「神眷的棋盘」中立、精灵、皇家护卫，录入了梦魇的部分卡牌（血之悲怨·茉拉艾儿、亡灵御主·厄洛托丝、邪奏的恶魔有误）</t>
    <phoneticPr fontId="11" type="noConversion"/>
  </si>
  <si>
    <t>Fanfare||AddToHand|1571406|1</t>
    <phoneticPr fontId="11" type="noConversion"/>
  </si>
  <si>
    <t>When|Allied-Forestcraft-Follower|EnterField||If|{Cards|Allied-Field-Card}=1||+0/+1|It</t>
  </si>
  <si>
    <t>When|Allied-Forestcraft-Follower|EnterField||If|{Cards|Allied-Field-Card}=2||+1/+0|It</t>
  </si>
  <si>
    <t>When|Allied-Forestcraft-Follower|EnterField||If|{Cards|Allied-Field-Card}=3||Give|It|{Ward}</t>
  </si>
  <si>
    <t>When|Allied-Forestcraft-Follower|EnterField||If|{Cards|Allied-Field-Card}=4||Damage|Random&amp;1-Enemy-Follower|1</t>
  </si>
  <si>
    <t>Evolve||Crest&amp;0|{When|Allied-Forestcraft-Follower|EnterField||If|{Cards|Allied-Field-Card}=1||+0/+1|It}|{When|Allied-Forestcraft-Follower|EnterField||If|{Cards|Allied-Field-Card}=2||+1/+0|It}|{When|Allied-Forestcraft-Follower|EnterField||If|{Cards|Allied-Field-Card}=3||Give|It|{Ward}}|{When|Allied-Forestcraft-Follower|EnterField||If|{Cards|Allied-Field-Card}=4||Damage|Random&amp;1-Enemy-Follower|1}</t>
  </si>
  <si>
    <t>Play||Mode&amp;1|{AddToHand|1570405|1||Mode&amp;1|{Give|It|{Rush}}|{Give|It|{Bane}}|{Give|It|{Aura}}}|{AddToHand|1570402|1||Mode&amp;1|{Give|It|{Rush}}|{Give|It|{Bane}}|{Give|It|{Aura}}}|{AddToHand|1570406|1||Mode&amp;1|{Give|It|{Rush}}|{Give|It|{Bane}}|{Give|It|{Aura}}}</t>
    <phoneticPr fontId="11" type="noConversion"/>
  </si>
  <si>
    <t>LastWords||If|{Cards|Allied-Hand-SameName&amp;1570406-Follower}=0||AddToHand|1570406|1</t>
  </si>
  <si>
    <t>Enhance&amp;7||PP|6</t>
  </si>
  <si>
    <t>When|Allied-Field-DifferentName&amp;1521206-Follower|Increased||+1/+1|ThisCard</t>
  </si>
  <si>
    <t>御风领主·萝洁爱尔</t>
  </si>
  <si>
    <t>Fanfare||SearchSummon|Random&amp;1-Cost=3-Follower||Give|It|{Ward}||Give|It|{Clash||ReturnToHand|ThisCard}||SearchSummon|Random&amp;1-Cost=2-Follower||Give|It|{Ward}||Give|It|{Clash||ReturnToHand|ThisCard}||SearchSummon|Random&amp;1-Cost=1-Follower||Give|It|{Ward}||Give|It|{Clash||ReturnToHand|ThisCard}</t>
  </si>
  <si>
    <t>When|Allied-Follower|ReturnToHand||SplitDamage|Enemy-Follower|3</t>
  </si>
  <si>
    <t>森友合击</t>
  </si>
  <si>
    <t>Play||Mode&amp;1|{+0/$1|Select&amp;1-Enemy-Field-Follower}|{AuxSelect|Select&amp;1-Enemy-Field-Follower||Damage|Enemy-Follower|1}||Change|If|Combo&amp;3||+0/$1|Select&amp;1-Enemy-Field-Follower||Damage|Enemy-Follower|1</t>
  </si>
  <si>
    <t>星云-基础卡牌v1.038</t>
    <phoneticPr fontId="11" type="noConversion"/>
  </si>
  <si>
    <t>更新时间：2025-11-13</t>
    <phoneticPr fontId="11" type="noConversion"/>
  </si>
  <si>
    <t>1、更新了「神眷的棋盘」皇家护卫的部分卡片</t>
    <phoneticPr fontId="11" type="noConversion"/>
  </si>
  <si>
    <t>2、录入了「神眷的棋盘」精灵的新卡森友合击与御风领主·萝洁爱尔</t>
    <phoneticPr fontId="11" type="noConversion"/>
  </si>
  <si>
    <t>When|ThisCard|ReturnToHand||Draw|1||Transform|ThisCard|1510104</t>
    <phoneticPr fontId="11" type="noConversion"/>
  </si>
  <si>
    <t>纹章:复苏的春风</t>
  </si>
  <si>
    <t>When|Allied-Turn-End||AddToHand|1010402|1</t>
  </si>
  <si>
    <t>Play||Crest&amp;1|{When|Allied-Turn-End||AddToHand|1010402|1}|{When|Allied-Turn-End||If|Combo&amp;4||Countdown+1|ThisCard}</t>
  </si>
  <si>
    <t>复苏精灵·小春</t>
  </si>
  <si>
    <t>SuperEvolve||Countdown+1|Allied-Crest</t>
  </si>
  <si>
    <t>微光之境</t>
  </si>
  <si>
    <t>星云-基础卡牌v1.039</t>
    <phoneticPr fontId="11" type="noConversion"/>
  </si>
  <si>
    <t>更新时间：2025-11-16</t>
    <phoneticPr fontId="11" type="noConversion"/>
  </si>
  <si>
    <t>1、修复2以上的蓄积在没有土之印使用时，召唤出来的蓄积数量最终为1的问题</t>
    <phoneticPr fontId="11" type="noConversion"/>
  </si>
  <si>
    <t>2、更正部分「神眷的棋盘」精灵的部分卡片</t>
    <phoneticPr fontId="11" type="noConversion"/>
  </si>
  <si>
    <t>龙之睿智</t>
  </si>
  <si>
    <t>Play||Discard|Random&amp;1-Allied-Cost$Highest-Card||Draw|2||Change|If|Overflow||Discard|Random&amp;1-Allied-Cost$Lowest-Card||Draw|2</t>
  </si>
  <si>
    <t>清流的舞女·琳赛</t>
  </si>
  <si>
    <t>When|Allied-Turn-End||If|Overflow||Restore|Allied-Leader|3||Draw|1</t>
  </si>
  <si>
    <t>Evolve||MaxPP|1</t>
  </si>
  <si>
    <t>潮汐鼓动·缇莉</t>
  </si>
  <si>
    <t>纹章:潮汐鼓动·缇莉</t>
  </si>
  <si>
    <t>When|Allied-Card|Discard||If|TimesPerTurn&amp;1||Damage|Random&amp;1-Enemy-Follower|3||Damage|Enemy-Leader|1</t>
  </si>
  <si>
    <t>Fanfare||Crest&amp;0|{When|Allied-Card|Discard||If|TimesPerTurn&amp;1||Damage|Random&amp;1-Enemy-Follower|3||Damage|Enemy-Leader|1}</t>
  </si>
  <si>
    <t>Evolve||Discard|Select&amp;1-Allied-Card||Search|Random&amp;1-Cost&gt;X-Card||Search|Random&amp;1-Cost&lt;X-Card||X=Cost|It</t>
  </si>
  <si>
    <t>龙宫的宴请</t>
  </si>
  <si>
    <t>ActivateInHand-When|ThisCard|Discard||AddToHand|1340401|1</t>
  </si>
  <si>
    <t>When|Allied-Turn-Start||Summon|1340401|1||If|Overflow||Give|It|{Drain}</t>
  </si>
  <si>
    <t>收获的渔人</t>
  </si>
  <si>
    <t>Fanfare||If|{Cards|Allied-Hand&amp;ThisTurn@Discard-Card}&gt;0||AddToHand|1340401|1</t>
  </si>
  <si>
    <t>Enhance&amp;5||+1/+4|ThisCard||Draw|2</t>
  </si>
  <si>
    <t>威严的暴流</t>
  </si>
  <si>
    <t>Play||Destroy|Select&amp;1-Enemy-Follower||If|Overflow||Summon|1340401|2</t>
  </si>
  <si>
    <t>碧海之心·玛蒂亚</t>
  </si>
  <si>
    <t>Fanfare||AddToHand|1340401|1</t>
  </si>
  <si>
    <t>When|Allied-Turn-Start||AddToHand|1340401|1</t>
  </si>
  <si>
    <t>When|Allied-Turn-End||If|Overflow||Give|ThisCard|{Intimidate}</t>
  </si>
  <si>
    <t>When|Allied-SameName&amp;1340401-Follower|AddToHand||Give|It|{ActivateInHand-When|ThisCard|Discard||CopySummon|ThisCard}</t>
  </si>
  <si>
    <t>SuperEvolve||Give|Allied-Field&amp;Hand-SameName&amp;1340401-Follower|{Storm}</t>
  </si>
  <si>
    <t>冰川射手</t>
  </si>
  <si>
    <t>Fanfare||Discard|Select&amp;1-Allied-Card||Damage|Select&amp;1-Enemy-Follower|3||Change|Enhance&amp;7||Discard|Select&amp;1-Allied-Card||Damage|Enemy-Follower|3</t>
  </si>
  <si>
    <t>能量值+1</t>
    <phoneticPr fontId="11" type="noConversion"/>
  </si>
  <si>
    <t>When|Enemy-Follower|Destroy||If|Allied-Turn|TimesPerTurn&amp;1||Draw|1</t>
  </si>
  <si>
    <t>星云-基础卡牌v1.040</t>
    <phoneticPr fontId="11" type="noConversion"/>
  </si>
  <si>
    <t>更新时间：2025-11-17</t>
    <phoneticPr fontId="11" type="noConversion"/>
  </si>
  <si>
    <t>1、更新了「神眷的棋盘」龙族的部分卡片</t>
    <phoneticPr fontId="11" type="noConversion"/>
  </si>
  <si>
    <t>Play||If|Combo&amp;4||AddToHand|1510107|1</t>
    <phoneticPr fontId="11" type="noConversion"/>
  </si>
  <si>
    <t>Fanfare||SameSummon|Random@4-Allied-ThisMatch@Destroy-Crest</t>
  </si>
  <si>
    <t>星云-基础卡牌v1.041</t>
    <phoneticPr fontId="11" type="noConversion"/>
  </si>
  <si>
    <t>1、可以同名召唤纹章了</t>
    <phoneticPr fontId="11" type="noConversion"/>
  </si>
  <si>
    <t>2、临时修复燦金王bug（发动X次与该卡牌冲突，该卡牌找不到自身句段定位）（临时解决措施，找不到定位时直接找最后一个Goal）</t>
    <phoneticPr fontId="11" type="noConversion"/>
  </si>
  <si>
    <t>誓锋的黑骑士·伊诺缇亚</t>
  </si>
  <si>
    <t>When|Allied-Amulet|Engage||UnStriked|ThisCard</t>
  </si>
  <si>
    <t>When|Allied-Amulet|Engage||Give|ThisCard|{Barrier}</t>
  </si>
  <si>
    <t>无法攻击</t>
    <phoneticPr fontId="11" type="noConversion"/>
  </si>
  <si>
    <t>CantStrike|Leader</t>
  </si>
  <si>
    <t>When|Allied-Turn-End||Enemy-Turn-End-Until|Give|Random&amp;1-Enemy-Field-Follower|{CantStrike|Follower&amp;Leader}</t>
    <phoneticPr fontId="11" type="noConversion"/>
  </si>
  <si>
    <t>CantStrike|Follower&amp;Leader</t>
    <phoneticPr fontId="11" type="noConversion"/>
  </si>
  <si>
    <t>When|Allied-Turn-End||If|{Cards|Allied-Field-SameName&amp;1161103-Follower}&gt;0||Give|Random&amp;X-Enemy-Field-Attack&lt;5-Follower|{CantStrike|Follower&amp;Leader}||Give|It|{When|Allied-Turn-End||Banish|ThisCard}||X=Cards|Allied-Field-Crest</t>
    <phoneticPr fontId="11" type="noConversion"/>
  </si>
  <si>
    <t>Play||+0/$1|Select&amp;1-Enemy-Field-Follower||Enemy-Turn-End-Until|Give|It|{CantStrike|Follower&amp;Leader}</t>
    <phoneticPr fontId="11" type="noConversion"/>
  </si>
  <si>
    <t>Evolve||Give|ThisCard|{CantStrike|Follower&amp;Leader}</t>
    <phoneticPr fontId="11" type="noConversion"/>
  </si>
  <si>
    <t>Play||Damage|Select&amp;1-Enemy-Follower|3||Enemy-Turn-End-Until|Give|It|{CantStrike|Follower&amp;Leader}</t>
    <phoneticPr fontId="11" type="noConversion"/>
  </si>
  <si>
    <t>Evolve||Allied-Turn-End-Until|Give|ThisCard|{CantStrike|Follower&amp;Leader}</t>
    <phoneticPr fontId="11" type="noConversion"/>
  </si>
  <si>
    <t>Fanfare||Crest&amp;4|{When|Allied-Turn-End||If|{Cards|Allied-Field-SameName&amp;1161103-Follower}&gt;0||Give|Random&amp;X-Enemy-Field-Attack&lt;5-Follower|{CantStrike|Follower&amp;Leader}||Give|It|{When|Allied-Turn-End||Banish|ThisCard}}||X=Cards|Allied-Field-Crest</t>
    <phoneticPr fontId="11" type="noConversion"/>
  </si>
  <si>
    <t>When|Enemy-Follower|EnterField||Enemy-Turn-End-Until|Give|It|{CantStrike|Follower&amp;Leader}</t>
    <phoneticPr fontId="11" type="noConversion"/>
  </si>
  <si>
    <t>Fanfare||Enemy-Turn-End-Until|Give|Select&amp;2-Enemy-Field-Follower|{CantStrike|Follower&amp;Leader}</t>
    <phoneticPr fontId="11" type="noConversion"/>
  </si>
  <si>
    <t>SuperEvolve||Give|ThisCard|{DoDamage&amp;1}</t>
  </si>
  <si>
    <t>DoDamage</t>
    <phoneticPr fontId="11" type="noConversion"/>
  </si>
  <si>
    <t>造成的伤害</t>
    <phoneticPr fontId="11" type="noConversion"/>
  </si>
  <si>
    <t>2、上上个限定目标</t>
    <phoneticPr fontId="11" type="noConversion"/>
  </si>
  <si>
    <t>星云-基础卡牌v1.042</t>
    <phoneticPr fontId="11" type="noConversion"/>
  </si>
  <si>
    <t>更新时间：2025-11-18</t>
    <phoneticPr fontId="11" type="noConversion"/>
  </si>
  <si>
    <t>4、增加了造成的伤害+1</t>
    <phoneticPr fontId="11" type="noConversion"/>
  </si>
  <si>
    <t>2、无法攻击现在可以限定目标</t>
    <phoneticPr fontId="11" type="noConversion"/>
  </si>
  <si>
    <t>1、增加了转变为未攻击/未启动</t>
    <phoneticPr fontId="11" type="noConversion"/>
  </si>
  <si>
    <t>3、修正了附加效果优先于自身效果的bug</t>
    <phoneticPr fontId="11" type="noConversion"/>
  </si>
  <si>
    <t>5、修复了换牌能换回自己的bug</t>
    <phoneticPr fontId="11" type="noConversion"/>
  </si>
  <si>
    <t>对手的手牌张数</t>
    <phoneticPr fontId="11" type="noConversion"/>
  </si>
  <si>
    <t>6、增加了查看对手纹章按钮</t>
    <phoneticPr fontId="11" type="noConversion"/>
  </si>
  <si>
    <t>7、增加了对手手牌数显示</t>
    <phoneticPr fontId="11" type="noConversion"/>
  </si>
  <si>
    <t>星云-基础卡牌v1.043</t>
    <phoneticPr fontId="11" type="noConversion"/>
  </si>
  <si>
    <t>1、修复了未注册回到手牌事件的bug</t>
    <phoneticPr fontId="11" type="noConversion"/>
  </si>
  <si>
    <t>星云-基础卡牌v1.044</t>
    <phoneticPr fontId="11" type="noConversion"/>
  </si>
  <si>
    <t>1、修复了换牌bug</t>
    <phoneticPr fontId="11" type="noConversion"/>
  </si>
  <si>
    <t>SuperEvolve||Give|Allied-Field-Follower|{Aura}</t>
  </si>
  <si>
    <t>烈焰之余烬</t>
  </si>
  <si>
    <t>Engage&amp;1||If|EarthRite&amp;1||Damage|Enemy-Leader|1</t>
  </si>
  <si>
    <t>疾风之裂隙</t>
  </si>
  <si>
    <t>Engage&amp;1||If|EarthRite&amp;1||Damage|Select&amp;1-Enemy-Follower|3</t>
  </si>
  <si>
    <t>流水之结晶</t>
  </si>
  <si>
    <t>Engage&amp;1||If|EarthRite&amp;1||Restore|Allied-Leader|2</t>
  </si>
  <si>
    <t>唤醒元素</t>
  </si>
  <si>
    <t>尘土塑型师</t>
  </si>
  <si>
    <t>Fanfare||Mode&amp;1|{Draw|2||EarthSigil|4}|{If|EarthRite&amp;2||Summon|1030404|2}||Change|If|{ThisTurn-Engage-Times|Allied-Amulet}&gt;0||Draw|2||EarthSigil|4||If|EarthRite&amp;2||Summon|1030404|2</t>
  </si>
  <si>
    <t>启明占星术师</t>
  </si>
  <si>
    <t>Fanfare||ReturnToDeck|Select&amp;1-Allied-Follower&amp;Spell||Search|Random&amp;1-Amulet||EarthSigil|1</t>
  </si>
  <si>
    <t>飓风浮灵</t>
  </si>
  <si>
    <t>LastWords||Summon|1530402|1</t>
  </si>
  <si>
    <t>凝水流体</t>
  </si>
  <si>
    <t>熔火化形</t>
  </si>
  <si>
    <t>LastWords||Summon|1530401|1</t>
  </si>
  <si>
    <t>炽火缝纫师</t>
  </si>
  <si>
    <t>Fanfare||Summon|1530401|1</t>
  </si>
  <si>
    <t>When|Allied-Field&amp;Hand&amp;Deck-Card&amp;Crest&amp;Faith|Keyword&amp;EarthRite||Evolve|ThisCard</t>
  </si>
  <si>
    <t>迅风调香师</t>
  </si>
  <si>
    <t>Fanfare||Summon|1530402|1</t>
  </si>
  <si>
    <t>When|Enemy-Follower|Destroy||If|Allied-Turn|TimesPerTurn&amp;3||Draw|1</t>
  </si>
  <si>
    <t>流水精工师</t>
  </si>
  <si>
    <t>When|Allied-Trait:4-Follower|EnterField||Give|It|{Aura}||Give|It|{Clash||+1/+1|ThisCard}</t>
  </si>
  <si>
    <t>萃炼的大魔女·格洛莉娅</t>
  </si>
  <si>
    <t>Fanfare||AddToHand|1531401|3</t>
  </si>
  <si>
    <t>Evolve||Cost-1|Allied-Hand-SameName&amp;1531401-Spell</t>
  </si>
  <si>
    <t>纹章:萃炼的大魔女·格洛莉娅</t>
  </si>
  <si>
    <t>EngageCost&amp;-1</t>
  </si>
  <si>
    <t>SuperEvolve||Crest&amp;0|{EngageCost&amp;-1}</t>
  </si>
  <si>
    <t>银锁的使役</t>
  </si>
  <si>
    <t>Play||Mode&amp;2|{Summon|1530407|1}|{Summon|1530406|1}|{Summon|1530405|1}|{Evolve|Allied-Trait:4-Follower}||Change|If|EarthRite&amp;2||Mode&amp;3|{Summon|1530407|1}|{Summon|1530406|1}|{Summon|1530405|1}|{Evolve|Allied-Trait:4-Follower}</t>
    <phoneticPr fontId="11" type="noConversion"/>
  </si>
  <si>
    <t>Evolve||If|EarthRite&amp;1||Summon|1530405|1</t>
    <phoneticPr fontId="11" type="noConversion"/>
  </si>
  <si>
    <t>创生之石</t>
  </si>
  <si>
    <t>When|Allied-Amulet|Engage||If|EarthRite&amp;1||InOrder&amp;1|{Summon|1530407|1}|{Summon|1530406|1}|{Summon|1530405|1}</t>
  </si>
  <si>
    <t>原初巨像</t>
  </si>
  <si>
    <t>Engage&amp;1||Mode&amp;1|{Evolve|Select&amp;1-Allied-Trait:4-Follower}|{AuxSelect|Select&amp;1-Allied-Field-SameName&amp;1530407-Follower||AuxSelect|Select&amp;1-Allied-Field-SameName&amp;1530406-Follower||AuxSelect|Select&amp;1-Allied-Field-SameName&amp;1530405-Follower||If||Banish|ThisCard||Banish|Allied-Field-SameName&amp;1530407-LeftMost&amp;1-Follower||Banish|Allied-Field-SameName&amp;1530406-LeftMost&amp;1-Follower||Banish|Allied-Field-SameName&amp;1530405-LeftMost&amp;1-Follower||Summon|1530101|1}</t>
    <phoneticPr fontId="11" type="noConversion"/>
  </si>
  <si>
    <t>LastWords||Summon|1530407|1||Summon|1530406|1||Summon|1530405|1</t>
  </si>
  <si>
    <t>LastWords||If|EarthRite&amp;1||Summon|1530407|1</t>
  </si>
  <si>
    <t>尘土塑形师</t>
  </si>
  <si>
    <t>Play||Mode&amp;1|{Summon|1030401|1}|{Summon|1530401|1}|{Summon|1530408|1}|{Summon|1530402|1}</t>
    <phoneticPr fontId="11" type="noConversion"/>
  </si>
  <si>
    <t>Fanfare||Summon|1530408|1||If|EarthRite&amp;1||Summon|1530406|1</t>
    <phoneticPr fontId="11" type="noConversion"/>
  </si>
  <si>
    <t>LastWords||Summon|1530408|1</t>
    <phoneticPr fontId="11" type="noConversion"/>
  </si>
  <si>
    <t>财宝皇</t>
  </si>
  <si>
    <t>测试</t>
  </si>
  <si>
    <t>星云-基础卡牌v1.045</t>
    <phoneticPr fontId="11" type="noConversion"/>
  </si>
  <si>
    <t>更新时间：2025-11-19</t>
    <phoneticPr fontId="11" type="noConversion"/>
  </si>
  <si>
    <t>1、更新了「神眷的棋盘」巫师部分单卡</t>
    <phoneticPr fontId="11" type="noConversion"/>
  </si>
  <si>
    <t>2、更新了精灵虹卡御风领主·萝洁爱尔的效果</t>
    <phoneticPr fontId="11" type="noConversion"/>
  </si>
  <si>
    <t>C:\Users\鲨咕咕\Desktop\星云</t>
    <phoneticPr fontId="11" type="noConversion"/>
  </si>
  <si>
    <t>星云-基础卡牌v1.046</t>
    <phoneticPr fontId="11" type="noConversion"/>
  </si>
  <si>
    <t>夺宝狂涛</t>
    <phoneticPr fontId="11" type="noConversion"/>
  </si>
  <si>
    <t>典当行</t>
    <phoneticPr fontId="11" type="noConversion"/>
  </si>
  <si>
    <t>猎犬</t>
    <phoneticPr fontId="11" type="noConversion"/>
  </si>
  <si>
    <t>绒冕大帝</t>
    <phoneticPr fontId="11" type="noConversion"/>
  </si>
  <si>
    <t>铜爪儿</t>
    <phoneticPr fontId="11" type="noConversion"/>
  </si>
  <si>
    <t>都市怪盗团</t>
    <phoneticPr fontId="11" type="noConversion"/>
  </si>
  <si>
    <t>血之悲愿·茉拉艾儿</t>
    <phoneticPr fontId="11" type="noConversion"/>
  </si>
  <si>
    <t>厄洛托丝</t>
    <phoneticPr fontId="11" type="noConversion"/>
  </si>
  <si>
    <t>Abysscraft</t>
    <phoneticPr fontId="11" type="noConversion"/>
  </si>
  <si>
    <t>Evolve||Give|Allied-Field-Trait:5-Follower|{Rush}||+2/+0|Allied-Field-Trait:5-Follower</t>
    <phoneticPr fontId="11" type="noConversion"/>
  </si>
  <si>
    <t>僭夺永恒的决意</t>
    <phoneticPr fontId="11" type="noConversion"/>
  </si>
  <si>
    <t>纹章:僭夺永恒的决意</t>
  </si>
  <si>
    <t>LastWords||AddToHand|1550104|1</t>
    <phoneticPr fontId="11" type="noConversion"/>
  </si>
  <si>
    <t>SuperEvolve||If|Sacrifice&amp;6||AddToHand|1550104|1</t>
    <phoneticPr fontId="11" type="noConversion"/>
  </si>
  <si>
    <t>Play||+2/+2|Select&amp;1-Allied-Field-Follower||Give|It|{Strike||Damage|Enemy-Follower&amp;Leader|2}||If|{Cards|SameName&amp;1551102-It}&gt;0||Crest&amp;1|{LastWords||AddToHand|1550104|1}</t>
  </si>
  <si>
    <t>禁约掘墓人</t>
    <phoneticPr fontId="11" type="noConversion"/>
  </si>
  <si>
    <t>F1000</t>
    <phoneticPr fontId="11" type="noConversion"/>
  </si>
  <si>
    <t>S0</t>
    <phoneticPr fontId="11" type="noConversion"/>
  </si>
  <si>
    <t>Leader</t>
    <phoneticPr fontId="11" type="noConversion"/>
  </si>
  <si>
    <t>F1002</t>
    <phoneticPr fontId="11" type="noConversion"/>
  </si>
  <si>
    <t>F1003</t>
    <phoneticPr fontId="11" type="noConversion"/>
  </si>
  <si>
    <t>F1004</t>
    <phoneticPr fontId="11" type="noConversion"/>
  </si>
  <si>
    <t>F1005</t>
    <phoneticPr fontId="11" type="noConversion"/>
  </si>
  <si>
    <t>F1006</t>
    <phoneticPr fontId="11" type="noConversion"/>
  </si>
  <si>
    <t>F1007</t>
    <phoneticPr fontId="11" type="noConversion"/>
  </si>
  <si>
    <t>F1008</t>
    <phoneticPr fontId="11" type="noConversion"/>
  </si>
  <si>
    <t>F1009</t>
    <phoneticPr fontId="11" type="noConversion"/>
  </si>
  <si>
    <t>F1010</t>
    <phoneticPr fontId="11" type="noConversion"/>
  </si>
  <si>
    <t>F1011</t>
    <phoneticPr fontId="11" type="noConversion"/>
  </si>
  <si>
    <t>F1012</t>
    <phoneticPr fontId="11" type="noConversion"/>
  </si>
  <si>
    <t>F1013</t>
    <phoneticPr fontId="11" type="noConversion"/>
  </si>
  <si>
    <t>F1014</t>
    <phoneticPr fontId="11" type="noConversion"/>
  </si>
  <si>
    <t>F1015</t>
    <phoneticPr fontId="11" type="noConversion"/>
  </si>
  <si>
    <t>F1016</t>
    <phoneticPr fontId="11" type="noConversion"/>
  </si>
  <si>
    <t>F1017</t>
    <phoneticPr fontId="11" type="noConversion"/>
  </si>
  <si>
    <t>F1018</t>
    <phoneticPr fontId="11" type="noConversion"/>
  </si>
  <si>
    <t>F1019</t>
    <phoneticPr fontId="11" type="noConversion"/>
  </si>
  <si>
    <t>F1020</t>
    <phoneticPr fontId="11" type="noConversion"/>
  </si>
  <si>
    <t>F1021</t>
    <phoneticPr fontId="11" type="noConversion"/>
  </si>
  <si>
    <t>F1022</t>
    <phoneticPr fontId="11" type="noConversion"/>
  </si>
  <si>
    <t>F1023</t>
    <phoneticPr fontId="11" type="noConversion"/>
  </si>
  <si>
    <t>F1024</t>
    <phoneticPr fontId="11" type="noConversion"/>
  </si>
  <si>
    <t>F1025</t>
    <phoneticPr fontId="11" type="noConversion"/>
  </si>
  <si>
    <t>F1026</t>
    <phoneticPr fontId="11" type="noConversion"/>
  </si>
  <si>
    <t>F1027</t>
    <phoneticPr fontId="11" type="noConversion"/>
  </si>
  <si>
    <t>F1028</t>
    <phoneticPr fontId="11" type="noConversion"/>
  </si>
  <si>
    <t>F1029</t>
    <phoneticPr fontId="11" type="noConversion"/>
  </si>
  <si>
    <t>F1030</t>
    <phoneticPr fontId="11" type="noConversion"/>
  </si>
  <si>
    <t>F1031</t>
    <phoneticPr fontId="11" type="noConversion"/>
  </si>
  <si>
    <t>F1032</t>
    <phoneticPr fontId="11" type="noConversion"/>
  </si>
  <si>
    <t>F1033</t>
    <phoneticPr fontId="11" type="noConversion"/>
  </si>
  <si>
    <t>F1034</t>
    <phoneticPr fontId="11" type="noConversion"/>
  </si>
  <si>
    <t>F1035</t>
    <phoneticPr fontId="11" type="noConversion"/>
  </si>
  <si>
    <t>F1036</t>
    <phoneticPr fontId="11" type="noConversion"/>
  </si>
  <si>
    <t>F1037</t>
    <phoneticPr fontId="11" type="noConversion"/>
  </si>
  <si>
    <t>F1038</t>
    <phoneticPr fontId="11" type="noConversion"/>
  </si>
  <si>
    <t>F1039</t>
    <phoneticPr fontId="11" type="noConversion"/>
  </si>
  <si>
    <t>F1040</t>
    <phoneticPr fontId="11" type="noConversion"/>
  </si>
  <si>
    <t>F1001</t>
    <phoneticPr fontId="11" type="noConversion"/>
  </si>
  <si>
    <t>Deck</t>
    <phoneticPr fontId="11" type="noConversion"/>
  </si>
  <si>
    <t>Hand</t>
    <phoneticPr fontId="11" type="noConversion"/>
  </si>
  <si>
    <t>Random</t>
    <phoneticPr fontId="11" type="noConversion"/>
  </si>
  <si>
    <t>F1034&amp;F1036&amp;F1030&amp;F1032</t>
    <phoneticPr fontId="11" type="noConversion"/>
  </si>
  <si>
    <t>F1018&amp;F1011</t>
    <phoneticPr fontId="11" type="noConversion"/>
  </si>
  <si>
    <t>S1000</t>
    <phoneticPr fontId="11" type="noConversion"/>
  </si>
  <si>
    <t>S1001</t>
    <phoneticPr fontId="11" type="noConversion"/>
  </si>
  <si>
    <t>S1002</t>
    <phoneticPr fontId="11" type="noConversion"/>
  </si>
  <si>
    <t>S1003</t>
    <phoneticPr fontId="11" type="noConversion"/>
  </si>
  <si>
    <t>S1004</t>
    <phoneticPr fontId="11" type="noConversion"/>
  </si>
  <si>
    <t>S1005</t>
    <phoneticPr fontId="11" type="noConversion"/>
  </si>
  <si>
    <t>S1006</t>
    <phoneticPr fontId="11" type="noConversion"/>
  </si>
  <si>
    <t>S1007</t>
    <phoneticPr fontId="11" type="noConversion"/>
  </si>
  <si>
    <t>S1008</t>
    <phoneticPr fontId="11" type="noConversion"/>
  </si>
  <si>
    <t>S1009</t>
    <phoneticPr fontId="11" type="noConversion"/>
  </si>
  <si>
    <t>S1010</t>
    <phoneticPr fontId="11" type="noConversion"/>
  </si>
  <si>
    <t>S1011</t>
    <phoneticPr fontId="11" type="noConversion"/>
  </si>
  <si>
    <t>S1012</t>
    <phoneticPr fontId="11" type="noConversion"/>
  </si>
  <si>
    <t>S1013</t>
    <phoneticPr fontId="11" type="noConversion"/>
  </si>
  <si>
    <t>S1014</t>
    <phoneticPr fontId="11" type="noConversion"/>
  </si>
  <si>
    <t>S1015</t>
    <phoneticPr fontId="11" type="noConversion"/>
  </si>
  <si>
    <t>S1016</t>
    <phoneticPr fontId="11" type="noConversion"/>
  </si>
  <si>
    <t>S1017</t>
    <phoneticPr fontId="11" type="noConversion"/>
  </si>
  <si>
    <t>S1018</t>
    <phoneticPr fontId="11" type="noConversion"/>
  </si>
  <si>
    <t>S1019</t>
    <phoneticPr fontId="11" type="noConversion"/>
  </si>
  <si>
    <t>S1020</t>
    <phoneticPr fontId="11" type="noConversion"/>
  </si>
  <si>
    <t>S1021</t>
    <phoneticPr fontId="11" type="noConversion"/>
  </si>
  <si>
    <t>S1022</t>
    <phoneticPr fontId="11" type="noConversion"/>
  </si>
  <si>
    <t>S1023</t>
    <phoneticPr fontId="11" type="noConversion"/>
  </si>
  <si>
    <t>S1024</t>
    <phoneticPr fontId="11" type="noConversion"/>
  </si>
  <si>
    <t>S1025</t>
    <phoneticPr fontId="11" type="noConversion"/>
  </si>
  <si>
    <t>S1026</t>
    <phoneticPr fontId="11" type="noConversion"/>
  </si>
  <si>
    <t>S1027</t>
    <phoneticPr fontId="11" type="noConversion"/>
  </si>
  <si>
    <t>S1028</t>
    <phoneticPr fontId="11" type="noConversion"/>
  </si>
  <si>
    <t>S1029</t>
    <phoneticPr fontId="11" type="noConversion"/>
  </si>
  <si>
    <t>S1030</t>
    <phoneticPr fontId="11" type="noConversion"/>
  </si>
  <si>
    <t>S1031</t>
    <phoneticPr fontId="11" type="noConversion"/>
  </si>
  <si>
    <t>S1032</t>
    <phoneticPr fontId="11" type="noConversion"/>
  </si>
  <si>
    <t>S1033</t>
    <phoneticPr fontId="11" type="noConversion"/>
  </si>
  <si>
    <t>S1034</t>
    <phoneticPr fontId="11" type="noConversion"/>
  </si>
  <si>
    <t>S1035</t>
    <phoneticPr fontId="11" type="noConversion"/>
  </si>
  <si>
    <t>S1036</t>
    <phoneticPr fontId="11" type="noConversion"/>
  </si>
  <si>
    <t>S1037</t>
    <phoneticPr fontId="11" type="noConversion"/>
  </si>
  <si>
    <t>S1038</t>
    <phoneticPr fontId="11" type="noConversion"/>
  </si>
  <si>
    <t>S1039</t>
    <phoneticPr fontId="11" type="noConversion"/>
  </si>
  <si>
    <t>S1040</t>
    <phoneticPr fontId="11" type="noConversion"/>
  </si>
  <si>
    <t>S1016&amp;S1022&amp;S1039&amp;S1040</t>
    <phoneticPr fontId="11" type="noConversion"/>
  </si>
  <si>
    <t>F1</t>
    <phoneticPr fontId="11" type="noConversion"/>
  </si>
  <si>
    <t>TurnStart</t>
    <phoneticPr fontId="11" type="noConversion"/>
  </si>
  <si>
    <t>AddToHand</t>
    <phoneticPr fontId="11" type="noConversion"/>
  </si>
  <si>
    <t>DrawToHand</t>
    <phoneticPr fontId="11" type="noConversion"/>
  </si>
  <si>
    <t>F10</t>
    <phoneticPr fontId="11" type="noConversion"/>
  </si>
  <si>
    <t>TurnEnd</t>
    <phoneticPr fontId="11" type="noConversion"/>
  </si>
  <si>
    <t>SecondMove</t>
    <phoneticPr fontId="11" type="noConversion"/>
  </si>
  <si>
    <t>S10</t>
    <phoneticPr fontId="11" type="noConversion"/>
  </si>
  <si>
    <t>||Draw|Goal&amp;F1008</t>
    <phoneticPr fontId="11" type="noConversion"/>
  </si>
  <si>
    <t>||Draw|Goal&amp;S1035</t>
    <phoneticPr fontId="11" type="noConversion"/>
  </si>
  <si>
    <t>血池</t>
    <phoneticPr fontId="11" type="noConversion"/>
  </si>
  <si>
    <t>Play</t>
    <phoneticPr fontId="11" type="noConversion"/>
  </si>
  <si>
    <t>Field</t>
    <phoneticPr fontId="11" type="noConversion"/>
  </si>
  <si>
    <t>EnterField</t>
    <phoneticPr fontId="11" type="noConversion"/>
  </si>
  <si>
    <t>Keyword&amp;Fanfare</t>
    <phoneticPr fontId="11" type="noConversion"/>
  </si>
  <si>
    <t>Damaged</t>
    <phoneticPr fontId="11" type="noConversion"/>
  </si>
  <si>
    <t>Fanfare||Damage|Goal&amp;S1000|2</t>
    <phoneticPr fontId="11" type="noConversion"/>
  </si>
  <si>
    <t>S1041</t>
    <phoneticPr fontId="11" type="noConversion"/>
  </si>
  <si>
    <t>Fanfare||AddToHand|Goal&amp;S1041</t>
    <phoneticPr fontId="11" type="noConversion"/>
  </si>
  <si>
    <t>2/2</t>
  </si>
  <si>
    <t>骸骨士兵</t>
    <phoneticPr fontId="11" type="noConversion"/>
  </si>
  <si>
    <t>F11</t>
    <phoneticPr fontId="11" type="noConversion"/>
  </si>
  <si>
    <t>||Draw|Goal&amp;F1040</t>
    <phoneticPr fontId="11" type="noConversion"/>
  </si>
  <si>
    <t>Fanfare||Damage|Goal&amp;F1000|2</t>
    <phoneticPr fontId="11" type="noConversion"/>
  </si>
  <si>
    <t>F1041</t>
    <phoneticPr fontId="11" type="noConversion"/>
  </si>
  <si>
    <t>Fanfare||AddToHand|Goal&amp;F1041</t>
    <phoneticPr fontId="11" type="noConversion"/>
  </si>
  <si>
    <t>S11</t>
    <phoneticPr fontId="11" type="noConversion"/>
  </si>
  <si>
    <t>||Draw|Goal&amp;S1034</t>
    <phoneticPr fontId="11" type="noConversion"/>
  </si>
  <si>
    <t>Strike</t>
    <phoneticPr fontId="11" type="noConversion"/>
  </si>
  <si>
    <t>Clash</t>
    <phoneticPr fontId="11" type="noConversion"/>
  </si>
  <si>
    <t>Striked&amp;1||Damaged&amp;2||</t>
    <phoneticPr fontId="11" type="noConversion"/>
  </si>
  <si>
    <t>Destroy</t>
    <phoneticPr fontId="11" type="noConversion"/>
  </si>
  <si>
    <t>LeaveField</t>
    <phoneticPr fontId="11" type="noConversion"/>
  </si>
  <si>
    <t>Damaged&amp;2||</t>
    <phoneticPr fontId="11" type="noConversion"/>
  </si>
  <si>
    <t>F12</t>
    <phoneticPr fontId="11" type="noConversion"/>
  </si>
  <si>
    <t>||Draw|Goal&amp;F1025</t>
    <phoneticPr fontId="11" type="noConversion"/>
  </si>
  <si>
    <t>Keyword&amp;Necromancy</t>
    <phoneticPr fontId="11" type="noConversion"/>
  </si>
  <si>
    <t>F1042</t>
    <phoneticPr fontId="11" type="noConversion"/>
  </si>
  <si>
    <t>Trait:5||</t>
    <phoneticPr fontId="11" type="noConversion"/>
  </si>
  <si>
    <t>Fanfare||True|{Effect1}&lt;5|Necromancy&amp;3||Reanimate|Goal&amp;F1042</t>
    <phoneticPr fontId="11" type="noConversion"/>
  </si>
  <si>
    <t>F1043</t>
    <phoneticPr fontId="11" type="noConversion"/>
  </si>
  <si>
    <t>Fanfare||True|{Effect1}&lt;4|Necromancy&amp;3||Reanimate|Goal&amp;F1043</t>
    <phoneticPr fontId="11" type="noConversion"/>
  </si>
  <si>
    <t>F1044</t>
    <phoneticPr fontId="11" type="noConversion"/>
  </si>
  <si>
    <t>Fanfare||True|{Effect1}&lt;3|Necromancy&amp;3||Reanimate|Goal&amp;F1044</t>
    <phoneticPr fontId="11" type="noConversion"/>
  </si>
  <si>
    <t>F1045</t>
    <phoneticPr fontId="11" type="noConversion"/>
  </si>
  <si>
    <t>FieldDestroy</t>
    <phoneticPr fontId="11" type="noConversion"/>
  </si>
  <si>
    <t>Fanfare||True|{Effect1}&lt;2|Necromancy&amp;3||Reanimate|Goal&amp;F1045</t>
    <phoneticPr fontId="11" type="noConversion"/>
  </si>
  <si>
    <t>4/4</t>
  </si>
  <si>
    <t>类型:亡者||</t>
  </si>
  <si>
    <t>S12</t>
    <phoneticPr fontId="11" type="noConversion"/>
  </si>
  <si>
    <t>||Draw|Goal&amp;S1018</t>
    <phoneticPr fontId="11" type="noConversion"/>
  </si>
  <si>
    <t>Fanfare||If|{Cards|Allied-Field-Card}&lt;4|Necromancy&amp;3||Reanimate|3</t>
    <phoneticPr fontId="11" type="noConversion"/>
  </si>
  <si>
    <t>Fanfare||If|{Cards|Allied-Field-Card}&lt;3|Necromancy&amp;3||Reanimate|3</t>
    <phoneticPr fontId="11" type="noConversion"/>
  </si>
  <si>
    <t>Fanfare||If|{Cards|Allied-Field-Card}&lt;2|Necromancy&amp;3||Reanimate|3</t>
    <phoneticPr fontId="11" type="noConversion"/>
  </si>
  <si>
    <t>Fanfare||If|{Cards|Allied-Field-Card}&lt;1|Necromancy&amp;3||Reanimate|3</t>
    <phoneticPr fontId="11" type="noConversion"/>
  </si>
  <si>
    <t>S1042</t>
    <phoneticPr fontId="11" type="noConversion"/>
  </si>
  <si>
    <t>Fanfare||True|{Effect1}&lt;4|Necromancy&amp;3||Reanimate|Goal&amp;S1042</t>
    <phoneticPr fontId="11" type="noConversion"/>
  </si>
  <si>
    <t>S1043</t>
    <phoneticPr fontId="11" type="noConversion"/>
  </si>
  <si>
    <t>Fanfare||True|{Effect1}&lt;3|Necromancy&amp;3||Reanimate|Goal&amp;S1043</t>
    <phoneticPr fontId="11" type="noConversion"/>
  </si>
  <si>
    <t>S1044</t>
    <phoneticPr fontId="11" type="noConversion"/>
  </si>
  <si>
    <t>Fanfare||True|{Effect1}&lt;2|Necromancy&amp;3||Reanimate|Goal&amp;S1044</t>
    <phoneticPr fontId="11" type="noConversion"/>
  </si>
  <si>
    <t>Fanfare||False|{Effect1}&lt;1|Necromancy&amp;3||Reanimate|3</t>
    <phoneticPr fontId="11" type="noConversion"/>
  </si>
  <si>
    <t>F13</t>
    <phoneticPr fontId="11" type="noConversion"/>
  </si>
  <si>
    <t>||Draw|Goal&amp;F1027</t>
    <phoneticPr fontId="11" type="noConversion"/>
  </si>
  <si>
    <t>Trait:5||Striked&amp;1||Damaged&amp;2||</t>
    <phoneticPr fontId="11" type="noConversion"/>
  </si>
  <si>
    <t>Trait:5||Damaged&amp;2||</t>
    <phoneticPr fontId="11" type="noConversion"/>
  </si>
  <si>
    <t>Keyword&amp;Clash</t>
    <phoneticPr fontId="11" type="noConversion"/>
  </si>
  <si>
    <t>GetBuff</t>
    <phoneticPr fontId="11" type="noConversion"/>
  </si>
  <si>
    <t>{Barrier}</t>
    <phoneticPr fontId="11" type="noConversion"/>
  </si>
  <si>
    <t>Clash||True|{Effect1}&gt;0||Give|Goal&amp;F1025|{Effect2}</t>
    <phoneticPr fontId="11" type="noConversion"/>
  </si>
  <si>
    <t>Clash||True|{Effect1}&gt;0||Give|Goal&amp;S1034|{Effect2}</t>
    <phoneticPr fontId="11" type="noConversion"/>
  </si>
  <si>
    <t>Striked&amp;1||Damaged&amp;1||</t>
    <phoneticPr fontId="11" type="noConversion"/>
  </si>
  <si>
    <t>Damaged&amp;1||</t>
    <phoneticPr fontId="11" type="noConversion"/>
  </si>
  <si>
    <t>S13</t>
    <phoneticPr fontId="11" type="noConversion"/>
  </si>
  <si>
    <t>||Draw|Goal&amp;S1027</t>
    <phoneticPr fontId="11" type="noConversion"/>
  </si>
  <si>
    <t>Clash||False|{Effect1}&gt;0||Give|ThisCard|{Effect2}</t>
    <phoneticPr fontId="11" type="noConversion"/>
  </si>
  <si>
    <t>Striked&amp;1||Damaged&amp;4||</t>
    <phoneticPr fontId="11" type="noConversion"/>
  </si>
  <si>
    <t>S1045</t>
    <phoneticPr fontId="11" type="noConversion"/>
  </si>
  <si>
    <t>Fanfare||AddToHand|Goal&amp;S1045</t>
    <phoneticPr fontId="11" type="noConversion"/>
  </si>
  <si>
    <t>F14</t>
    <phoneticPr fontId="11" type="noConversion"/>
  </si>
  <si>
    <t>||Draw|Goal&amp;F1032</t>
    <phoneticPr fontId="11" type="noConversion"/>
  </si>
  <si>
    <t>S14</t>
    <phoneticPr fontId="11" type="noConversion"/>
  </si>
  <si>
    <t>||Draw|Goal&amp;S1036</t>
    <phoneticPr fontId="11" type="noConversion"/>
  </si>
  <si>
    <t>Increased</t>
    <phoneticPr fontId="11" type="noConversion"/>
  </si>
  <si>
    <t>+2/+2</t>
    <phoneticPr fontId="11" type="noConversion"/>
  </si>
  <si>
    <t>||+2/+2|Goal&amp;S1016</t>
    <phoneticPr fontId="11" type="noConversion"/>
  </si>
  <si>
    <t>Evolve</t>
    <phoneticPr fontId="11" type="noConversion"/>
  </si>
  <si>
    <t>F15</t>
    <phoneticPr fontId="11" type="noConversion"/>
  </si>
  <si>
    <t>||Draw|Goal&amp;F1026</t>
    <phoneticPr fontId="11" type="noConversion"/>
  </si>
  <si>
    <t>F1046</t>
    <phoneticPr fontId="11" type="noConversion"/>
  </si>
  <si>
    <t>Fanfare||AddToHand|Goal&amp;F1046</t>
    <phoneticPr fontId="11" type="noConversion"/>
  </si>
  <si>
    <t>Fanfare||False|{Effect1}&gt;0||Damage|Enemy-Follower|2||Damage|Leader|2||Give|ThisCard|{Effect2}</t>
    <phoneticPr fontId="11" type="noConversion"/>
  </si>
  <si>
    <t>+3/+3</t>
    <phoneticPr fontId="11" type="noConversion"/>
  </si>
  <si>
    <t>||+3/+3|Goal&amp;F1026</t>
    <phoneticPr fontId="11" type="noConversion"/>
  </si>
  <si>
    <t>SuperEvolve</t>
    <phoneticPr fontId="11" type="noConversion"/>
  </si>
  <si>
    <t>Keyword&amp;SuperEvolve</t>
    <phoneticPr fontId="11" type="noConversion"/>
  </si>
  <si>
    <t>Keyword&amp;Sacrifice</t>
    <phoneticPr fontId="11" type="noConversion"/>
  </si>
  <si>
    <t>F1047</t>
    <phoneticPr fontId="11" type="noConversion"/>
  </si>
  <si>
    <t>SuperEvolve||True|Sacrifice&amp;6||AddToHand|Goal&amp;F1047</t>
    <phoneticPr fontId="11" type="noConversion"/>
  </si>
  <si>
    <t>F1048</t>
    <phoneticPr fontId="11" type="noConversion"/>
  </si>
  <si>
    <t>Fanfare||AddToHand|Goal&amp;F1048</t>
    <phoneticPr fontId="11" type="noConversion"/>
  </si>
  <si>
    <t>Select</t>
    <phoneticPr fontId="11" type="noConversion"/>
  </si>
  <si>
    <t>||Spellboost|Goal&amp;F1034&amp;F1018&amp;F1011&amp;F1008&amp;F1040&amp;F1027&amp;F1046&amp;F1048|1</t>
    <phoneticPr fontId="11" type="noConversion"/>
  </si>
  <si>
    <t>{Strike||Damage|Enemy-Follower&amp;Leader|2}</t>
    <phoneticPr fontId="11" type="noConversion"/>
  </si>
  <si>
    <t>F1049</t>
    <phoneticPr fontId="11" type="noConversion"/>
  </si>
  <si>
    <t>Countdown&amp;1||</t>
    <phoneticPr fontId="11" type="noConversion"/>
  </si>
  <si>
    <t>纹章:僭夺永恒的决意</t>
    <phoneticPr fontId="11" type="noConversion"/>
  </si>
  <si>
    <t>Play||+2/+2|Goal&amp;F1026||Give|Goal&amp;F1026|{Effect1}||True|{Effect2}&gt;0||Crest&amp;1|Goal&amp;F1049</t>
    <phoneticPr fontId="11" type="noConversion"/>
  </si>
  <si>
    <t>S15</t>
    <phoneticPr fontId="11" type="noConversion"/>
  </si>
  <si>
    <t>||Draw|Goal&amp;S1010</t>
    <phoneticPr fontId="11" type="noConversion"/>
  </si>
  <si>
    <t>F16</t>
    <phoneticPr fontId="11" type="noConversion"/>
  </si>
  <si>
    <t>Keyword&amp;LastWords</t>
    <phoneticPr fontId="11" type="noConversion"/>
  </si>
  <si>
    <t>When|Allied-Turn-Start||Countdown-1|Goal&amp;F1049</t>
    <phoneticPr fontId="11" type="noConversion"/>
  </si>
  <si>
    <t>F1050</t>
    <phoneticPr fontId="11" type="noConversion"/>
  </si>
  <si>
    <t>LastWords||AddToHand|Goal&amp;F1050</t>
    <phoneticPr fontId="11" type="noConversion"/>
  </si>
  <si>
    <t>HandDestroy</t>
    <phoneticPr fontId="11" type="noConversion"/>
  </si>
  <si>
    <t>||Draw|Goal&amp;F1010</t>
    <phoneticPr fontId="11" type="noConversion"/>
  </si>
  <si>
    <t>Play||+2/+2|Goal&amp;F1032||Give|Goal&amp;F1032|{Effect1}||False|{Effect2}&gt;0||Crest&amp;1|{Effect3}</t>
    <phoneticPr fontId="11" type="noConversion"/>
  </si>
  <si>
    <t>S16</t>
    <phoneticPr fontId="11" type="noConversion"/>
  </si>
  <si>
    <t>||Draw|Goal&amp;S1008</t>
    <phoneticPr fontId="11" type="noConversion"/>
  </si>
  <si>
    <t>S1046</t>
    <phoneticPr fontId="11" type="noConversion"/>
  </si>
  <si>
    <t>Fanfare||True|{Effect1}&lt;4|Necromancy&amp;3||Reanimate|Goal&amp;S1046</t>
    <phoneticPr fontId="11" type="noConversion"/>
  </si>
  <si>
    <t>S1047</t>
    <phoneticPr fontId="11" type="noConversion"/>
  </si>
  <si>
    <t>Fanfare||True|{Effect1}&lt;3|Necromancy&amp;3||Reanimate|Goal&amp;S1047</t>
    <phoneticPr fontId="11" type="noConversion"/>
  </si>
  <si>
    <t>S1048</t>
    <phoneticPr fontId="11" type="noConversion"/>
  </si>
  <si>
    <t>Fanfare||True|{Effect1}&lt;2|Necromancy&amp;3||Reanimate|Goal&amp;S1048</t>
    <phoneticPr fontId="11" type="noConversion"/>
  </si>
  <si>
    <t>{Rush}||Evolved||+2/+2||Striked&amp;1||Damaged&amp;9||</t>
    <phoneticPr fontId="11" type="noConversion"/>
  </si>
  <si>
    <t>F17</t>
    <phoneticPr fontId="11" type="noConversion"/>
  </si>
  <si>
    <t>||Draw|Goal&amp;F1031</t>
    <phoneticPr fontId="11" type="noConversion"/>
  </si>
  <si>
    <t>S17</t>
    <phoneticPr fontId="11" type="noConversion"/>
  </si>
  <si>
    <t>||Draw|Goal&amp;S1020</t>
    <phoneticPr fontId="11" type="noConversion"/>
  </si>
  <si>
    <t>Trait:5||Striked&amp;1||Damaged&amp;9||</t>
    <phoneticPr fontId="11" type="noConversion"/>
  </si>
  <si>
    <t>{Rush}||SuperEvolved||+5/+5||{Strike||Damage|Enemy-Follower&amp;Leader|2}||Damaged&amp;8||</t>
    <phoneticPr fontId="11" type="noConversion"/>
  </si>
  <si>
    <t>9/1</t>
    <phoneticPr fontId="11" type="noConversion"/>
  </si>
  <si>
    <t>{突进}||超进化后||+5/+5||{攻击时||伤害|对手的-随从&amp;主战者|2}||已受伤&amp;8||</t>
    <phoneticPr fontId="11" type="noConversion"/>
  </si>
  <si>
    <t>Trait:5||Striked&amp;1||Damaged&amp;4||</t>
    <phoneticPr fontId="11" type="noConversion"/>
  </si>
  <si>
    <t>+2/+2||{Strike||Damage|Enemy-Follower&amp;Leader|2}||Damaged&amp;6||</t>
    <phoneticPr fontId="11" type="noConversion"/>
  </si>
  <si>
    <t>F18</t>
    <phoneticPr fontId="11" type="noConversion"/>
  </si>
  <si>
    <t>||Draw|Goal&amp;F1007</t>
    <phoneticPr fontId="11" type="noConversion"/>
  </si>
  <si>
    <t>S18</t>
    <phoneticPr fontId="11" type="noConversion"/>
  </si>
  <si>
    <t>S18</t>
    <phoneticPr fontId="11" type="noConversion"/>
  </si>
  <si>
    <t>||Draw|Goal&amp;S1032</t>
    <phoneticPr fontId="11" type="noConversion"/>
  </si>
  <si>
    <t>后手第18回合</t>
    <phoneticPr fontId="11" type="noConversion"/>
  </si>
  <si>
    <t>S1049</t>
    <phoneticPr fontId="11" type="noConversion"/>
  </si>
  <si>
    <t>Fanfare||True|{Effect1}&lt;4|Necromancy&amp;3||Reanimate|Goal&amp;S1049</t>
    <phoneticPr fontId="11" type="noConversion"/>
  </si>
  <si>
    <t>S1050</t>
    <phoneticPr fontId="11" type="noConversion"/>
  </si>
  <si>
    <t>Fanfare||True|{Effect1}&lt;3|Necromancy&amp;3||Reanimate|Goal&amp;S1050</t>
    <phoneticPr fontId="11" type="noConversion"/>
  </si>
  <si>
    <t>Fanfare||True|{Effect1}&lt;2|Necromancy&amp;3||Reanimate|3</t>
    <phoneticPr fontId="11" type="noConversion"/>
  </si>
  <si>
    <t>Fanfare||True|{Effect1}&lt;1|Necromancy&amp;3||Reanimate|3</t>
    <phoneticPr fontId="11" type="noConversion"/>
  </si>
  <si>
    <t>1、回合开始，禁约掘墓人|爆牌</t>
    <phoneticPr fontId="11" type="noConversion"/>
  </si>
  <si>
    <t>2、使用【厄洛托丝】，禁约掘墓人|进入战场，禁约掘墓人|进入战场</t>
    <phoneticPr fontId="11" type="noConversion"/>
  </si>
  <si>
    <t>1、更新了「神眷的棋盘」梦魇、皇家部分单卡</t>
    <phoneticPr fontId="11" type="noConversion"/>
  </si>
  <si>
    <t>2、修复了唤灵、血池、限次、土秘此类消耗类条件不会判断2次的bug</t>
    <phoneticPr fontId="11" type="noConversion"/>
  </si>
  <si>
    <t>Swordcraft</t>
    <phoneticPr fontId="11" type="noConversion"/>
  </si>
  <si>
    <t>When|Allied-Trait:8-Card|Play||PP|1</t>
  </si>
  <si>
    <t>When|Enemy-Follower|Destroy||SplitDamage|Enemy-Follower|4</t>
  </si>
  <si>
    <t>Silver</t>
    <phoneticPr fontId="11" type="noConversion"/>
  </si>
  <si>
    <t>Fanfare||Mode&amp;1|{Summon|1521306|1}|{AddToHand|1120401|1||AddToHand|1120402|1}</t>
  </si>
  <si>
    <t>When|Allied-Trait:8-Card|Play||If|TimesPerTurn&amp;1||Summon|1521306|1</t>
  </si>
  <si>
    <t>Evolve||Give|ThisCard|{LastWords||Summon|1521306|1}</t>
    <phoneticPr fontId="11" type="noConversion"/>
  </si>
  <si>
    <t>典当行</t>
    <phoneticPr fontId="11" type="noConversion"/>
  </si>
  <si>
    <t>Amulet</t>
    <phoneticPr fontId="11" type="noConversion"/>
  </si>
  <si>
    <t>Fanfare||Discard|Select&amp;2-Allied-Trait:8-Card||Draw|X||X=Cards|It</t>
    <phoneticPr fontId="11" type="noConversion"/>
  </si>
  <si>
    <t>Engage&amp;0||Destroy|ThisCard</t>
    <phoneticPr fontId="11" type="noConversion"/>
  </si>
  <si>
    <t>Engage&amp;0||Replicate|Fanfare</t>
    <phoneticPr fontId="11" type="noConversion"/>
  </si>
  <si>
    <t>Fanfare||Mode&amp;1|{AddToHand|1120401|1}|{Discard|Select&amp;2-Allied-Trait:8-Card||Draw|X}||X=Cards|It</t>
  </si>
  <si>
    <t>安详之眠</t>
    <phoneticPr fontId="11" type="noConversion"/>
  </si>
  <si>
    <t>友伴大汪</t>
    <phoneticPr fontId="11" type="noConversion"/>
  </si>
  <si>
    <t>黄金雕像</t>
    <phoneticPr fontId="11" type="noConversion"/>
  </si>
  <si>
    <t>慷慨小白</t>
    <phoneticPr fontId="11" type="noConversion"/>
  </si>
  <si>
    <t>嬉闹小黄</t>
    <phoneticPr fontId="11" type="noConversion"/>
  </si>
  <si>
    <t>皇家护卫</t>
    <phoneticPr fontId="11" type="noConversion"/>
  </si>
  <si>
    <t>财宝皇</t>
    <phoneticPr fontId="11" type="noConversion"/>
  </si>
  <si>
    <t>Fanfare||Crest&amp;3|{When|Allied-Trait:8-Card|Play||Countdown+1|ThisCard}|{When|Enemy-Turn-End||Summon|1521104|1}|{When|Enemy-Turn-End||Countdown-2|ThisCard}</t>
  </si>
  <si>
    <t>When|Enemy-Turn-End||Summon|1521104|1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</si>
</sst>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20"/>
      <color theme="1"/>
      <name val="华文新魏"/>
      <family val="3"/>
      <charset val="134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sz val="20"/>
      <name val="华文新魏"/>
      <family val="3"/>
      <charset val="134"/>
    </font>
    <font>
      <sz val="11"/>
      <color theme="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5117038483843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ck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/>
  </cellStyleXfs>
  <cellXfs count="13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Continuous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6" xfId="0" applyBorder="1"/>
    <xf numFmtId="0" fontId="0" fillId="0" borderId="4" xfId="0" applyBorder="1"/>
    <xf numFmtId="0" fontId="0" fillId="0" borderId="7" xfId="0" applyBorder="1"/>
    <xf numFmtId="0" fontId="0" fillId="0" borderId="2" xfId="0" applyBorder="1"/>
    <xf numFmtId="0" fontId="4" fillId="0" borderId="6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4" fillId="0" borderId="9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58" fontId="4" fillId="0" borderId="12" xfId="0" applyNumberFormat="1" applyFont="1" applyBorder="1" applyAlignment="1">
      <alignment horizontal="left" vertical="center" indent="1"/>
    </xf>
    <xf numFmtId="0" fontId="5" fillId="0" borderId="10" xfId="0" applyFont="1" applyBorder="1" applyAlignment="1">
      <alignment horizontal="left" vertical="center" indent="1"/>
    </xf>
    <xf numFmtId="0" fontId="4" fillId="0" borderId="13" xfId="0" applyFont="1" applyBorder="1" applyAlignment="1">
      <alignment horizontal="left" vertical="center" indent="1"/>
    </xf>
    <xf numFmtId="0" fontId="4" fillId="0" borderId="12" xfId="0" applyFont="1" applyBorder="1" applyAlignment="1">
      <alignment horizontal="left" vertical="center" indent="1"/>
    </xf>
    <xf numFmtId="0" fontId="2" fillId="2" borderId="0" xfId="0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0" fontId="6" fillId="2" borderId="13" xfId="0" applyFont="1" applyFill="1" applyBorder="1" applyAlignment="1">
      <alignment horizontal="centerContinuous"/>
    </xf>
    <xf numFmtId="0" fontId="2" fillId="0" borderId="9" xfId="0" applyFont="1" applyBorder="1" applyAlignment="1">
      <alignment horizontal="centerContinuous" vertical="center"/>
    </xf>
    <xf numFmtId="0" fontId="2" fillId="0" borderId="7" xfId="0" applyFont="1" applyBorder="1" applyAlignment="1">
      <alignment horizontal="centerContinuous" vertical="center"/>
    </xf>
    <xf numFmtId="0" fontId="7" fillId="3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2" fillId="10" borderId="2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7" fillId="11" borderId="14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7" fillId="11" borderId="18" xfId="0" applyFont="1" applyFill="1" applyBorder="1" applyAlignment="1">
      <alignment horizontal="center" vertical="center"/>
    </xf>
    <xf numFmtId="0" fontId="2" fillId="12" borderId="19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2" fillId="0" borderId="33" xfId="0" applyFont="1" applyBorder="1" applyAlignment="1">
      <alignment horizontal="centerContinuous" vertical="center"/>
    </xf>
    <xf numFmtId="0" fontId="6" fillId="2" borderId="10" xfId="0" applyFont="1" applyFill="1" applyBorder="1" applyAlignment="1">
      <alignment horizontal="centerContinuous"/>
    </xf>
    <xf numFmtId="49" fontId="8" fillId="2" borderId="33" xfId="0" applyNumberFormat="1" applyFont="1" applyFill="1" applyBorder="1" applyAlignment="1">
      <alignment horizontal="centerContinuous"/>
    </xf>
    <xf numFmtId="0" fontId="7" fillId="2" borderId="34" xfId="0" applyFont="1" applyFill="1" applyBorder="1" applyAlignment="1">
      <alignment horizontal="center"/>
    </xf>
    <xf numFmtId="0" fontId="8" fillId="2" borderId="35" xfId="0" applyFont="1" applyFill="1" applyBorder="1" applyAlignment="1">
      <alignment horizontal="centerContinuous" vertical="center"/>
    </xf>
    <xf numFmtId="49" fontId="2" fillId="2" borderId="35" xfId="0" applyNumberFormat="1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left" vertical="center" indent="1"/>
    </xf>
    <xf numFmtId="0" fontId="8" fillId="0" borderId="33" xfId="0" applyFont="1" applyBorder="1" applyAlignment="1">
      <alignment horizontal="left" vertical="center" indent="1"/>
    </xf>
    <xf numFmtId="0" fontId="6" fillId="2" borderId="4" xfId="0" applyFont="1" applyFill="1" applyBorder="1" applyAlignment="1">
      <alignment horizontal="centerContinuous"/>
    </xf>
    <xf numFmtId="49" fontId="8" fillId="2" borderId="4" xfId="0" applyNumberFormat="1" applyFont="1" applyFill="1" applyBorder="1" applyAlignment="1">
      <alignment horizontal="centerContinuous"/>
    </xf>
    <xf numFmtId="0" fontId="8" fillId="2" borderId="4" xfId="0" applyFont="1" applyFill="1" applyBorder="1" applyAlignment="1">
      <alignment horizontal="centerContinuous"/>
    </xf>
    <xf numFmtId="0" fontId="8" fillId="2" borderId="5" xfId="0" applyFont="1" applyFill="1" applyBorder="1" applyAlignment="1">
      <alignment horizontal="centerContinuous" vertical="center"/>
    </xf>
    <xf numFmtId="49" fontId="2" fillId="2" borderId="5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49" fontId="2" fillId="2" borderId="36" xfId="0" applyNumberFormat="1" applyFont="1" applyFill="1" applyBorder="1" applyAlignment="1">
      <alignment horizontal="center" vertical="center"/>
    </xf>
    <xf numFmtId="49" fontId="2" fillId="2" borderId="33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37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4" fillId="0" borderId="43" xfId="0" applyFont="1" applyBorder="1" applyAlignment="1">
      <alignment horizontal="left" vertical="center" indent="1"/>
    </xf>
    <xf numFmtId="0" fontId="14" fillId="0" borderId="10" xfId="0" applyFont="1" applyBorder="1" applyAlignment="1">
      <alignment horizontal="left" vertical="center" indent="1"/>
    </xf>
    <xf numFmtId="0" fontId="14" fillId="0" borderId="3" xfId="0" applyFont="1" applyBorder="1" applyAlignment="1">
      <alignment horizontal="center" vertical="center"/>
    </xf>
    <xf numFmtId="49" fontId="2" fillId="2" borderId="3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4" fillId="0" borderId="42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7" fillId="0" borderId="0" xfId="0" applyFont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top"/>
    </xf>
    <xf numFmtId="0" fontId="8" fillId="2" borderId="20" xfId="0" applyFont="1" applyFill="1" applyBorder="1" applyAlignment="1">
      <alignment horizontal="left" vertical="top" wrapText="1"/>
    </xf>
    <xf numFmtId="0" fontId="8" fillId="2" borderId="27" xfId="0" applyFont="1" applyFill="1" applyBorder="1" applyAlignment="1">
      <alignment horizontal="left" vertical="top" wrapText="1"/>
    </xf>
    <xf numFmtId="0" fontId="2" fillId="2" borderId="20" xfId="0" applyFont="1" applyFill="1" applyBorder="1" applyAlignment="1">
      <alignment horizontal="left" vertical="top" wrapText="1"/>
    </xf>
    <xf numFmtId="0" fontId="2" fillId="2" borderId="27" xfId="0" applyFont="1" applyFill="1" applyBorder="1" applyAlignment="1">
      <alignment horizontal="left" vertical="top" wrapText="1"/>
    </xf>
    <xf numFmtId="0" fontId="2" fillId="0" borderId="20" xfId="0" applyFont="1" applyBorder="1" applyAlignment="1">
      <alignment horizontal="left" vertical="top" wrapText="1"/>
    </xf>
    <xf numFmtId="0" fontId="2" fillId="0" borderId="25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500" baseline="0"/>
              <a:t>费用曲线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Main!$W$13:$W$21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8+</c:v>
                </c:pt>
              </c:strCache>
            </c:strRef>
          </c:cat>
          <c:val>
            <c:numRef>
              <c:f>Main!$X$13:$X$21</c:f>
              <c:numCache>
                <c:formatCode>General</c:formatCode>
                <c:ptCount val="9"/>
                <c:pt idx="0">
                  <c:v>0</c:v>
                </c:pt>
                <c:pt idx="1">
                  <c:v>3</c:v>
                </c:pt>
                <c:pt idx="2">
                  <c:v>13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5-40D9-A50B-5E72A76F8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9799327"/>
        <c:axId val="697904479"/>
      </c:barChart>
      <c:catAx>
        <c:axId val="869799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7904479"/>
        <c:crosses val="autoZero"/>
        <c:auto val="1"/>
        <c:lblAlgn val="ctr"/>
        <c:lblOffset val="100"/>
        <c:noMultiLvlLbl val="0"/>
      </c:catAx>
      <c:valAx>
        <c:axId val="69790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799327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</xdr:row>
          <xdr:rowOff>99060</xdr:rowOff>
        </xdr:from>
        <xdr:to>
          <xdr:col>7</xdr:col>
          <xdr:colOff>1554480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查询效果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1</xdr:row>
          <xdr:rowOff>99060</xdr:rowOff>
        </xdr:from>
        <xdr:to>
          <xdr:col>8</xdr:col>
          <xdr:colOff>1516380</xdr:colOff>
          <xdr:row>2</xdr:row>
          <xdr:rowOff>190500</xdr:rowOff>
        </xdr:to>
        <xdr:sp macro="" textlink="">
          <xdr:nvSpPr>
            <xdr:cNvPr id="1026" name="StartGam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开始对局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7</xdr:row>
          <xdr:rowOff>99060</xdr:rowOff>
        </xdr:from>
        <xdr:to>
          <xdr:col>7</xdr:col>
          <xdr:colOff>1554480</xdr:colOff>
          <xdr:row>8</xdr:row>
          <xdr:rowOff>190500</xdr:rowOff>
        </xdr:to>
        <xdr:sp macro="" textlink="">
          <xdr:nvSpPr>
            <xdr:cNvPr id="1027" name="Cover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遮住手牌&amp;截图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7</xdr:row>
          <xdr:rowOff>99060</xdr:rowOff>
        </xdr:from>
        <xdr:to>
          <xdr:col>8</xdr:col>
          <xdr:colOff>1516380</xdr:colOff>
          <xdr:row>8</xdr:row>
          <xdr:rowOff>190500</xdr:rowOff>
        </xdr:to>
        <xdr:sp macro="" textlink="">
          <xdr:nvSpPr>
            <xdr:cNvPr id="1028" name="PP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能量值+1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9</xdr:row>
          <xdr:rowOff>99060</xdr:rowOff>
        </xdr:from>
        <xdr:to>
          <xdr:col>7</xdr:col>
          <xdr:colOff>1554480</xdr:colOff>
          <xdr:row>10</xdr:row>
          <xdr:rowOff>190500</xdr:rowOff>
        </xdr:to>
        <xdr:sp macro="" textlink="">
          <xdr:nvSpPr>
            <xdr:cNvPr id="1029" name="Evolve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进化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9</xdr:row>
          <xdr:rowOff>99060</xdr:rowOff>
        </xdr:from>
        <xdr:to>
          <xdr:col>8</xdr:col>
          <xdr:colOff>1516380</xdr:colOff>
          <xdr:row>10</xdr:row>
          <xdr:rowOff>190500</xdr:rowOff>
        </xdr:to>
        <xdr:sp macro="" textlink="">
          <xdr:nvSpPr>
            <xdr:cNvPr id="1030" name="SuperEvolve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超进化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11</xdr:row>
          <xdr:rowOff>99060</xdr:rowOff>
        </xdr:from>
        <xdr:to>
          <xdr:col>7</xdr:col>
          <xdr:colOff>1546860</xdr:colOff>
          <xdr:row>12</xdr:row>
          <xdr:rowOff>190500</xdr:rowOff>
        </xdr:to>
        <xdr:sp macro="" textlink="">
          <xdr:nvSpPr>
            <xdr:cNvPr id="1031" name="PlayBt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使用/攻击/启动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11</xdr:row>
          <xdr:rowOff>99060</xdr:rowOff>
        </xdr:from>
        <xdr:to>
          <xdr:col>8</xdr:col>
          <xdr:colOff>1516380</xdr:colOff>
          <xdr:row>12</xdr:row>
          <xdr:rowOff>190500</xdr:rowOff>
        </xdr:to>
        <xdr:sp macro="" textlink="">
          <xdr:nvSpPr>
            <xdr:cNvPr id="1032" name="Fuse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融合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4</xdr:row>
          <xdr:rowOff>99060</xdr:rowOff>
        </xdr:from>
        <xdr:to>
          <xdr:col>7</xdr:col>
          <xdr:colOff>1554480</xdr:colOff>
          <xdr:row>5</xdr:row>
          <xdr:rowOff>190500</xdr:rowOff>
        </xdr:to>
        <xdr:sp macro="" textlink="">
          <xdr:nvSpPr>
            <xdr:cNvPr id="1033" name="TurnStartBt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回合开始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4</xdr:row>
          <xdr:rowOff>99060</xdr:rowOff>
        </xdr:from>
        <xdr:to>
          <xdr:col>8</xdr:col>
          <xdr:colOff>1516380</xdr:colOff>
          <xdr:row>5</xdr:row>
          <xdr:rowOff>190500</xdr:rowOff>
        </xdr:to>
        <xdr:sp macro="" textlink="">
          <xdr:nvSpPr>
            <xdr:cNvPr id="1034" name="TurnEndBt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回合结束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167640</xdr:colOff>
          <xdr:row>6</xdr:row>
          <xdr:rowOff>99060</xdr:rowOff>
        </xdr:from>
        <xdr:to>
          <xdr:col>23</xdr:col>
          <xdr:colOff>701040</xdr:colOff>
          <xdr:row>7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选择牌组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335280</xdr:colOff>
          <xdr:row>1</xdr:row>
          <xdr:rowOff>99060</xdr:rowOff>
        </xdr:from>
        <xdr:to>
          <xdr:col>24</xdr:col>
          <xdr:colOff>1524000</xdr:colOff>
          <xdr:row>2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职业卡筛选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1828800</xdr:colOff>
          <xdr:row>1</xdr:row>
          <xdr:rowOff>99060</xdr:rowOff>
        </xdr:from>
        <xdr:to>
          <xdr:col>25</xdr:col>
          <xdr:colOff>1059180</xdr:colOff>
          <xdr:row>2</xdr:row>
          <xdr:rowOff>190500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中立卡筛选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1371600</xdr:colOff>
          <xdr:row>1</xdr:row>
          <xdr:rowOff>99060</xdr:rowOff>
        </xdr:from>
        <xdr:to>
          <xdr:col>26</xdr:col>
          <xdr:colOff>601980</xdr:colOff>
          <xdr:row>2</xdr:row>
          <xdr:rowOff>190500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录入卡牌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891540</xdr:colOff>
          <xdr:row>1</xdr:row>
          <xdr:rowOff>99060</xdr:rowOff>
        </xdr:from>
        <xdr:to>
          <xdr:col>27</xdr:col>
          <xdr:colOff>114300</xdr:colOff>
          <xdr:row>2</xdr:row>
          <xdr:rowOff>190500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删除卡牌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167640</xdr:colOff>
          <xdr:row>4</xdr:row>
          <xdr:rowOff>129540</xdr:rowOff>
        </xdr:from>
        <xdr:to>
          <xdr:col>23</xdr:col>
          <xdr:colOff>251460</xdr:colOff>
          <xdr:row>5</xdr:row>
          <xdr:rowOff>220980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保存牌组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167640</xdr:colOff>
          <xdr:row>8</xdr:row>
          <xdr:rowOff>99060</xdr:rowOff>
        </xdr:from>
        <xdr:to>
          <xdr:col>23</xdr:col>
          <xdr:colOff>701040</xdr:colOff>
          <xdr:row>9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查询效果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434340</xdr:colOff>
          <xdr:row>1</xdr:row>
          <xdr:rowOff>99060</xdr:rowOff>
        </xdr:from>
        <xdr:to>
          <xdr:col>27</xdr:col>
          <xdr:colOff>1615440</xdr:colOff>
          <xdr:row>2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添加至牌组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449580</xdr:colOff>
          <xdr:row>4</xdr:row>
          <xdr:rowOff>129540</xdr:rowOff>
        </xdr:from>
        <xdr:to>
          <xdr:col>23</xdr:col>
          <xdr:colOff>1348740</xdr:colOff>
          <xdr:row>5</xdr:row>
          <xdr:rowOff>220980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删除牌组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33</xdr:row>
          <xdr:rowOff>152400</xdr:rowOff>
        </xdr:from>
        <xdr:to>
          <xdr:col>0</xdr:col>
          <xdr:colOff>1508760</xdr:colOff>
          <xdr:row>34</xdr:row>
          <xdr:rowOff>251460</xdr:rowOff>
        </xdr:to>
        <xdr:sp macro="" textlink="">
          <xdr:nvSpPr>
            <xdr:cNvPr id="1066" name="TurnStartBtn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交换控制方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293916</xdr:colOff>
      <xdr:row>12</xdr:row>
      <xdr:rowOff>190502</xdr:rowOff>
    </xdr:from>
    <xdr:to>
      <xdr:col>26</xdr:col>
      <xdr:colOff>685800</xdr:colOff>
      <xdr:row>24</xdr:row>
      <xdr:rowOff>250371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18</xdr:row>
          <xdr:rowOff>83820</xdr:rowOff>
        </xdr:from>
        <xdr:to>
          <xdr:col>0</xdr:col>
          <xdr:colOff>1508760</xdr:colOff>
          <xdr:row>19</xdr:row>
          <xdr:rowOff>182880</xdr:rowOff>
        </xdr:to>
        <xdr:sp macro="" textlink="">
          <xdr:nvSpPr>
            <xdr:cNvPr id="1070" name="CrestBt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8000" tIns="108000" rIns="108000" bIns="1080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查看对手纹章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4"/>
  <sheetViews>
    <sheetView showGridLines="0" tabSelected="1" topLeftCell="G1" zoomScale="70" zoomScaleNormal="70" workbookViewId="0">
      <selection activeCell="U8" sqref="U8"/>
    </sheetView>
  </sheetViews>
  <sheetFormatPr defaultColWidth="5.5546875" defaultRowHeight="24" customHeight="1" x14ac:dyDescent="0.25"/>
  <cols>
    <col min="1" max="9" width="25.77734375" style="6" customWidth="1"/>
    <col min="10" max="10" width="5.5546875" style="6"/>
    <col min="11" max="11" width="25.77734375" style="32" customWidth="1"/>
    <col min="12" max="12" width="5.5546875" style="33" customWidth="1"/>
    <col min="13" max="13" width="5.5546875" style="6"/>
    <col min="14" max="14" width="25.77734375" style="32" customWidth="1"/>
    <col min="15" max="15" width="5.5546875" style="33" customWidth="1"/>
    <col min="16" max="16" width="5.5546875" style="6"/>
    <col min="17" max="17" width="25.77734375" style="32" customWidth="1"/>
    <col min="18" max="18" width="5.5546875" style="33" customWidth="1"/>
    <col min="19" max="19" width="5.5546875" style="6"/>
    <col min="20" max="20" width="5.5546875" style="6" customWidth="1"/>
    <col min="21" max="21" width="25.77734375" style="6" customWidth="1"/>
    <col min="22" max="22" width="5.5546875" style="6"/>
    <col min="23" max="23" width="10.5546875" style="6" customWidth="1"/>
    <col min="24" max="24" width="20.77734375" style="6" customWidth="1"/>
    <col min="25" max="28" width="25.77734375" style="6" customWidth="1"/>
    <col min="29" max="16384" width="5.5546875" style="6"/>
  </cols>
  <sheetData>
    <row r="1" spans="1:29" ht="24" customHeight="1" x14ac:dyDescent="0.45">
      <c r="A1" s="34" t="s">
        <v>2737</v>
      </c>
      <c r="B1" s="35"/>
      <c r="C1" s="36"/>
      <c r="D1" s="36"/>
      <c r="E1" s="36"/>
      <c r="F1" s="36"/>
      <c r="G1" s="36"/>
      <c r="H1" s="36"/>
      <c r="I1" s="69"/>
      <c r="J1" s="6" t="s">
        <v>0</v>
      </c>
      <c r="K1" s="70" t="s">
        <v>1</v>
      </c>
      <c r="L1" s="71"/>
      <c r="M1" s="6" t="s">
        <v>0</v>
      </c>
      <c r="N1" s="70" t="s">
        <v>2</v>
      </c>
      <c r="O1" s="71"/>
      <c r="P1" s="6" t="s">
        <v>0</v>
      </c>
      <c r="Q1" s="70" t="s">
        <v>3</v>
      </c>
      <c r="R1" s="71"/>
      <c r="T1" s="84" t="s">
        <v>4</v>
      </c>
      <c r="U1" s="85"/>
      <c r="V1" s="86"/>
      <c r="W1" s="85"/>
      <c r="X1" s="85"/>
      <c r="Y1" s="85"/>
      <c r="Z1" s="85"/>
      <c r="AA1" s="85"/>
      <c r="AB1" s="85"/>
      <c r="AC1" s="6" t="s">
        <v>0</v>
      </c>
    </row>
    <row r="2" spans="1:29" ht="24" customHeight="1" x14ac:dyDescent="0.25">
      <c r="A2" s="37" t="s">
        <v>5</v>
      </c>
      <c r="B2" s="38">
        <v>12</v>
      </c>
      <c r="C2" s="39" t="s">
        <v>2495</v>
      </c>
      <c r="D2" s="39"/>
      <c r="E2" s="39"/>
      <c r="F2" s="39"/>
      <c r="G2" s="39"/>
      <c r="H2" s="40" t="s">
        <v>0</v>
      </c>
      <c r="I2" s="72" t="s">
        <v>2601</v>
      </c>
      <c r="J2" s="6" t="s">
        <v>0</v>
      </c>
      <c r="K2" s="73" t="s">
        <v>9</v>
      </c>
      <c r="L2" s="74" t="s">
        <v>10</v>
      </c>
      <c r="M2" s="6" t="s">
        <v>0</v>
      </c>
      <c r="N2" s="73" t="s">
        <v>9</v>
      </c>
      <c r="O2" s="74" t="s">
        <v>10</v>
      </c>
      <c r="P2" s="6" t="s">
        <v>0</v>
      </c>
      <c r="Q2" s="87" t="s">
        <v>11</v>
      </c>
      <c r="R2" s="74" t="s">
        <v>10</v>
      </c>
      <c r="T2" s="88" t="s">
        <v>12</v>
      </c>
      <c r="U2" s="87" t="s">
        <v>9</v>
      </c>
      <c r="V2" s="89" t="s">
        <v>10</v>
      </c>
      <c r="W2" s="90" t="s">
        <v>13</v>
      </c>
      <c r="X2" s="112" t="s">
        <v>2766</v>
      </c>
      <c r="Y2" s="94" t="s">
        <v>0</v>
      </c>
      <c r="Z2" s="97"/>
      <c r="AA2" s="97"/>
      <c r="AB2" s="95"/>
      <c r="AC2" s="6" t="s">
        <v>0</v>
      </c>
    </row>
    <row r="3" spans="1:29" ht="24" customHeight="1" x14ac:dyDescent="0.25">
      <c r="A3" s="41" t="s">
        <v>15</v>
      </c>
      <c r="B3" s="42">
        <v>20</v>
      </c>
      <c r="C3" s="43" t="s">
        <v>2728</v>
      </c>
      <c r="D3" s="43"/>
      <c r="E3" s="43"/>
      <c r="F3" s="43"/>
      <c r="G3" s="43"/>
      <c r="H3" s="44" t="s">
        <v>0</v>
      </c>
      <c r="I3" s="75" t="b">
        <v>1</v>
      </c>
      <c r="J3" s="6" t="s">
        <v>0</v>
      </c>
      <c r="K3" s="76" t="s">
        <v>2504</v>
      </c>
      <c r="L3" s="77">
        <v>2</v>
      </c>
      <c r="M3" s="6" t="s">
        <v>0</v>
      </c>
      <c r="N3" s="76" t="s">
        <v>2504</v>
      </c>
      <c r="O3" s="77">
        <v>8</v>
      </c>
      <c r="P3" s="6" t="s">
        <v>0</v>
      </c>
      <c r="Q3" s="76" t="s">
        <v>1889</v>
      </c>
      <c r="R3" s="77">
        <v>6</v>
      </c>
      <c r="T3" s="110">
        <v>1</v>
      </c>
      <c r="U3" s="8" t="s">
        <v>2108</v>
      </c>
      <c r="V3" s="8">
        <v>3</v>
      </c>
      <c r="W3" s="91" t="s">
        <v>19</v>
      </c>
      <c r="X3" s="92">
        <f>SUM(V:V)</f>
        <v>40</v>
      </c>
      <c r="Y3" s="98"/>
      <c r="Z3" s="99"/>
      <c r="AA3" s="99"/>
      <c r="AB3" s="100"/>
      <c r="AC3" s="6" t="s">
        <v>0</v>
      </c>
    </row>
    <row r="4" spans="1:29" ht="24" customHeight="1" x14ac:dyDescent="0.25">
      <c r="A4" s="45" t="s">
        <v>20</v>
      </c>
      <c r="B4" s="46">
        <v>10</v>
      </c>
      <c r="C4" s="129" t="s">
        <v>2729</v>
      </c>
      <c r="D4" s="129"/>
      <c r="E4" s="129"/>
      <c r="F4" s="129"/>
      <c r="G4" s="129"/>
      <c r="H4" s="47" t="s">
        <v>0</v>
      </c>
      <c r="I4" s="123" t="s">
        <v>2734</v>
      </c>
      <c r="J4" s="6" t="s">
        <v>0</v>
      </c>
      <c r="K4" s="76" t="s">
        <v>2615</v>
      </c>
      <c r="L4" s="77">
        <v>1</v>
      </c>
      <c r="M4" s="6" t="s">
        <v>0</v>
      </c>
      <c r="N4" s="76" t="s">
        <v>2615</v>
      </c>
      <c r="O4" s="77">
        <v>1</v>
      </c>
      <c r="P4" s="6" t="s">
        <v>0</v>
      </c>
      <c r="Q4" s="76" t="s">
        <v>1890</v>
      </c>
      <c r="R4" s="77">
        <v>0</v>
      </c>
      <c r="T4" s="9">
        <v>2</v>
      </c>
      <c r="U4" s="107" t="s">
        <v>2106</v>
      </c>
      <c r="V4" s="8">
        <v>3</v>
      </c>
      <c r="W4" s="93" t="s">
        <v>24</v>
      </c>
      <c r="X4" s="111" t="s">
        <v>2767</v>
      </c>
      <c r="Y4" s="101" t="s">
        <v>25</v>
      </c>
      <c r="Z4" s="101" t="s">
        <v>26</v>
      </c>
      <c r="AA4" s="101" t="s">
        <v>27</v>
      </c>
      <c r="AB4" s="101" t="s">
        <v>28</v>
      </c>
      <c r="AC4" s="6" t="s">
        <v>0</v>
      </c>
    </row>
    <row r="5" spans="1:29" ht="24" customHeight="1" x14ac:dyDescent="0.25">
      <c r="A5" s="48" t="s">
        <v>29</v>
      </c>
      <c r="B5" s="49">
        <v>10</v>
      </c>
      <c r="C5" s="129"/>
      <c r="D5" s="129"/>
      <c r="E5" s="129"/>
      <c r="F5" s="129"/>
      <c r="G5" s="129"/>
      <c r="H5" s="40" t="s">
        <v>0</v>
      </c>
      <c r="I5" s="78"/>
      <c r="J5" s="6" t="s">
        <v>0</v>
      </c>
      <c r="K5" s="76" t="s">
        <v>2496</v>
      </c>
      <c r="L5" s="77">
        <v>3</v>
      </c>
      <c r="M5" s="6" t="s">
        <v>0</v>
      </c>
      <c r="N5" s="76" t="s">
        <v>2496</v>
      </c>
      <c r="O5" s="77">
        <v>2</v>
      </c>
      <c r="P5" s="6" t="s">
        <v>0</v>
      </c>
      <c r="Q5" s="76" t="s">
        <v>1912</v>
      </c>
      <c r="R5" s="77">
        <v>32</v>
      </c>
      <c r="T5" s="9">
        <v>2</v>
      </c>
      <c r="U5" s="9" t="s">
        <v>2136</v>
      </c>
      <c r="V5" s="8">
        <v>3</v>
      </c>
      <c r="W5" s="94"/>
      <c r="X5" s="95" t="s">
        <v>0</v>
      </c>
      <c r="Y5" s="8" t="s">
        <v>2117</v>
      </c>
      <c r="Z5" s="8" t="s">
        <v>2102</v>
      </c>
      <c r="AA5" s="8" t="s">
        <v>2489</v>
      </c>
      <c r="AB5" s="110" t="s">
        <v>2763</v>
      </c>
      <c r="AC5" s="6" t="s">
        <v>0</v>
      </c>
    </row>
    <row r="6" spans="1:29" ht="24" customHeight="1" x14ac:dyDescent="0.25">
      <c r="A6" s="50" t="s">
        <v>36</v>
      </c>
      <c r="B6" s="51">
        <v>2</v>
      </c>
      <c r="C6" s="129"/>
      <c r="D6" s="129"/>
      <c r="E6" s="129"/>
      <c r="F6" s="129"/>
      <c r="G6" s="129"/>
      <c r="H6" s="40" t="s">
        <v>0</v>
      </c>
      <c r="I6" s="78"/>
      <c r="J6" s="6" t="s">
        <v>0</v>
      </c>
      <c r="K6" s="76"/>
      <c r="L6" s="77"/>
      <c r="M6" s="6" t="s">
        <v>0</v>
      </c>
      <c r="N6" s="76"/>
      <c r="O6" s="77"/>
      <c r="P6" s="6" t="s">
        <v>0</v>
      </c>
      <c r="Q6" s="76"/>
      <c r="R6" s="77"/>
      <c r="T6" s="9">
        <v>2</v>
      </c>
      <c r="U6" s="9" t="s">
        <v>2122</v>
      </c>
      <c r="V6" s="8">
        <v>3</v>
      </c>
      <c r="W6" s="40"/>
      <c r="X6" s="78" t="s">
        <v>0</v>
      </c>
      <c r="Y6" s="102" t="s">
        <v>2139</v>
      </c>
      <c r="Z6" s="107" t="s">
        <v>2284</v>
      </c>
      <c r="AA6" s="9" t="s">
        <v>2761</v>
      </c>
      <c r="AB6" s="107" t="s">
        <v>2492</v>
      </c>
      <c r="AC6" s="6" t="s">
        <v>0</v>
      </c>
    </row>
    <row r="7" spans="1:29" ht="24" customHeight="1" x14ac:dyDescent="0.25">
      <c r="A7" s="52" t="s">
        <v>41</v>
      </c>
      <c r="B7" s="53">
        <v>1</v>
      </c>
      <c r="C7" s="130"/>
      <c r="D7" s="130"/>
      <c r="E7" s="130"/>
      <c r="F7" s="130"/>
      <c r="G7" s="130"/>
      <c r="H7" s="54" t="s">
        <v>0</v>
      </c>
      <c r="I7" s="79"/>
      <c r="J7" s="6" t="s">
        <v>0</v>
      </c>
      <c r="K7" s="76"/>
      <c r="L7" s="77"/>
      <c r="M7" s="6" t="s">
        <v>0</v>
      </c>
      <c r="N7" s="76"/>
      <c r="O7" s="77"/>
      <c r="P7" s="6" t="s">
        <v>0</v>
      </c>
      <c r="Q7" s="76"/>
      <c r="R7" s="77"/>
      <c r="T7" s="9">
        <v>2</v>
      </c>
      <c r="U7" s="107" t="s">
        <v>1675</v>
      </c>
      <c r="V7" s="8">
        <v>2</v>
      </c>
      <c r="W7" s="40"/>
      <c r="X7" s="78" t="s">
        <v>0</v>
      </c>
      <c r="Y7" s="102" t="s">
        <v>2280</v>
      </c>
      <c r="Z7" s="9" t="s">
        <v>2143</v>
      </c>
      <c r="AA7" s="9" t="s">
        <v>2762</v>
      </c>
      <c r="AB7" s="9" t="s">
        <v>2491</v>
      </c>
      <c r="AC7" s="6" t="s">
        <v>0</v>
      </c>
    </row>
    <row r="8" spans="1:29" ht="24" customHeight="1" x14ac:dyDescent="0.25">
      <c r="A8" s="55" t="s">
        <v>5</v>
      </c>
      <c r="B8" s="56">
        <v>16</v>
      </c>
      <c r="C8" s="57" t="s">
        <v>2266</v>
      </c>
      <c r="D8" s="57" t="s">
        <v>1635</v>
      </c>
      <c r="E8" s="57" t="s">
        <v>1635</v>
      </c>
      <c r="F8" s="57"/>
      <c r="G8" s="57"/>
      <c r="H8" s="40" t="s">
        <v>0</v>
      </c>
      <c r="I8" s="80" t="s">
        <v>2394</v>
      </c>
      <c r="J8" s="6" t="s">
        <v>0</v>
      </c>
      <c r="K8" s="76"/>
      <c r="L8" s="77"/>
      <c r="M8" s="6" t="s">
        <v>0</v>
      </c>
      <c r="N8" s="76"/>
      <c r="O8" s="77"/>
      <c r="P8" s="6" t="s">
        <v>0</v>
      </c>
      <c r="Q8" s="76"/>
      <c r="R8" s="77"/>
      <c r="T8" s="9">
        <v>2</v>
      </c>
      <c r="U8" s="9" t="s">
        <v>1603</v>
      </c>
      <c r="V8" s="8">
        <v>2</v>
      </c>
      <c r="W8" s="40"/>
      <c r="X8" s="78" t="s">
        <v>0</v>
      </c>
      <c r="Y8" s="102"/>
      <c r="Z8" s="9" t="s">
        <v>2161</v>
      </c>
      <c r="AA8" s="9" t="s">
        <v>2494</v>
      </c>
      <c r="AB8" s="9" t="s">
        <v>2764</v>
      </c>
      <c r="AC8" s="6" t="s">
        <v>0</v>
      </c>
    </row>
    <row r="9" spans="1:29" ht="24" customHeight="1" x14ac:dyDescent="0.25">
      <c r="A9" s="58" t="s">
        <v>15</v>
      </c>
      <c r="B9" s="59">
        <v>20</v>
      </c>
      <c r="C9" s="43" t="s">
        <v>2642</v>
      </c>
      <c r="D9" s="43" t="s">
        <v>2614</v>
      </c>
      <c r="E9" s="43" t="s">
        <v>2614</v>
      </c>
      <c r="F9" s="43"/>
      <c r="G9" s="43"/>
      <c r="H9" s="40" t="s">
        <v>0</v>
      </c>
      <c r="I9" s="78"/>
      <c r="J9" s="6" t="s">
        <v>0</v>
      </c>
      <c r="K9" s="76"/>
      <c r="L9" s="76"/>
      <c r="M9" s="6" t="s">
        <v>0</v>
      </c>
      <c r="N9" s="76"/>
      <c r="O9" s="76"/>
      <c r="P9" s="6" t="s">
        <v>0</v>
      </c>
      <c r="Q9" s="76"/>
      <c r="R9" s="76"/>
      <c r="T9" s="9">
        <v>3</v>
      </c>
      <c r="U9" s="9" t="s">
        <v>1575</v>
      </c>
      <c r="V9" s="8">
        <v>3</v>
      </c>
      <c r="W9" s="96"/>
      <c r="X9" s="78" t="s">
        <v>0</v>
      </c>
      <c r="Y9" s="102"/>
      <c r="Z9" s="6" t="s">
        <v>2127</v>
      </c>
      <c r="AA9" s="9" t="s">
        <v>2490</v>
      </c>
      <c r="AB9" s="9" t="s">
        <v>2493</v>
      </c>
      <c r="AC9" s="6" t="s">
        <v>0</v>
      </c>
    </row>
    <row r="10" spans="1:29" ht="24" customHeight="1" x14ac:dyDescent="0.25">
      <c r="A10" s="45" t="s">
        <v>20</v>
      </c>
      <c r="B10" s="46">
        <v>3</v>
      </c>
      <c r="C10" s="129"/>
      <c r="D10" s="129" t="s">
        <v>2643</v>
      </c>
      <c r="E10" s="129" t="s">
        <v>2643</v>
      </c>
      <c r="F10" s="129"/>
      <c r="G10" s="129"/>
      <c r="H10" s="40" t="s">
        <v>0</v>
      </c>
      <c r="I10" s="78"/>
      <c r="J10" s="6" t="s">
        <v>0</v>
      </c>
      <c r="K10" s="76"/>
      <c r="L10" s="77"/>
      <c r="M10" s="6" t="s">
        <v>0</v>
      </c>
      <c r="N10" s="76"/>
      <c r="O10" s="77"/>
      <c r="P10" s="6" t="s">
        <v>0</v>
      </c>
      <c r="Q10" s="76"/>
      <c r="R10" s="77"/>
      <c r="T10" s="9">
        <v>3</v>
      </c>
      <c r="U10" s="9" t="s">
        <v>2124</v>
      </c>
      <c r="V10" s="8">
        <v>3</v>
      </c>
      <c r="W10" s="54"/>
      <c r="X10" s="81" t="s">
        <v>0</v>
      </c>
      <c r="Y10" s="102"/>
      <c r="Z10" s="9"/>
      <c r="AA10" s="9"/>
      <c r="AB10" s="9" t="s">
        <v>2765</v>
      </c>
      <c r="AC10" s="6" t="s">
        <v>0</v>
      </c>
    </row>
    <row r="11" spans="1:29" ht="24" customHeight="1" x14ac:dyDescent="0.25">
      <c r="A11" s="48" t="s">
        <v>29</v>
      </c>
      <c r="B11" s="49">
        <v>10</v>
      </c>
      <c r="C11" s="129"/>
      <c r="D11" s="129"/>
      <c r="E11" s="129"/>
      <c r="F11" s="129"/>
      <c r="G11" s="129"/>
      <c r="H11" s="40" t="s">
        <v>0</v>
      </c>
      <c r="I11" s="78"/>
      <c r="J11" s="6" t="s">
        <v>0</v>
      </c>
      <c r="K11" s="76"/>
      <c r="L11" s="77"/>
      <c r="M11" s="6" t="s">
        <v>0</v>
      </c>
      <c r="N11" s="76"/>
      <c r="O11" s="77"/>
      <c r="P11" s="6" t="s">
        <v>0</v>
      </c>
      <c r="Q11" s="76"/>
      <c r="R11" s="77"/>
      <c r="T11" s="9">
        <v>4</v>
      </c>
      <c r="U11" s="9" t="s">
        <v>1606</v>
      </c>
      <c r="V11" s="8">
        <v>3</v>
      </c>
      <c r="W11" s="9" t="s">
        <v>49</v>
      </c>
      <c r="X11" s="109" t="s">
        <v>2033</v>
      </c>
      <c r="Y11" s="103"/>
      <c r="Z11" s="103"/>
      <c r="AA11" s="103"/>
      <c r="AB11" s="102"/>
      <c r="AC11" s="6" t="s">
        <v>0</v>
      </c>
    </row>
    <row r="12" spans="1:29" ht="24" customHeight="1" x14ac:dyDescent="0.25">
      <c r="A12" s="50" t="s">
        <v>36</v>
      </c>
      <c r="B12" s="51">
        <v>1</v>
      </c>
      <c r="C12" s="129"/>
      <c r="D12" s="129"/>
      <c r="E12" s="129"/>
      <c r="F12" s="129"/>
      <c r="G12" s="129"/>
      <c r="H12" s="40" t="s">
        <v>0</v>
      </c>
      <c r="I12" s="78"/>
      <c r="J12" s="6" t="s">
        <v>0</v>
      </c>
      <c r="K12" s="76"/>
      <c r="L12" s="77"/>
      <c r="M12" s="6" t="s">
        <v>0</v>
      </c>
      <c r="N12" s="76"/>
      <c r="O12" s="77"/>
      <c r="P12" s="6" t="s">
        <v>0</v>
      </c>
      <c r="Q12" s="76"/>
      <c r="R12" s="77"/>
      <c r="T12" s="9">
        <v>4</v>
      </c>
      <c r="U12" s="9" t="s">
        <v>2113</v>
      </c>
      <c r="V12" s="8">
        <v>3</v>
      </c>
      <c r="W12" s="9" t="s">
        <v>50</v>
      </c>
      <c r="X12" s="67" t="s">
        <v>2487</v>
      </c>
      <c r="Y12" s="103"/>
      <c r="Z12" s="103"/>
      <c r="AA12" s="103"/>
      <c r="AB12" s="102"/>
      <c r="AC12" s="6" t="s">
        <v>0</v>
      </c>
    </row>
    <row r="13" spans="1:29" ht="24" customHeight="1" x14ac:dyDescent="0.25">
      <c r="A13" s="52" t="s">
        <v>41</v>
      </c>
      <c r="B13" s="53">
        <v>2</v>
      </c>
      <c r="C13" s="130"/>
      <c r="D13" s="130"/>
      <c r="E13" s="130"/>
      <c r="F13" s="130"/>
      <c r="G13" s="130"/>
      <c r="H13" s="44" t="s">
        <v>0</v>
      </c>
      <c r="I13" s="81"/>
      <c r="J13" s="6" t="s">
        <v>0</v>
      </c>
      <c r="K13" s="76"/>
      <c r="L13" s="77"/>
      <c r="M13" s="6" t="s">
        <v>0</v>
      </c>
      <c r="N13" s="76"/>
      <c r="O13" s="77"/>
      <c r="P13" s="6" t="s">
        <v>0</v>
      </c>
      <c r="Q13" s="76"/>
      <c r="R13" s="77"/>
      <c r="T13" s="9">
        <v>5</v>
      </c>
      <c r="U13" s="9" t="s">
        <v>2102</v>
      </c>
      <c r="V13" s="8">
        <v>3</v>
      </c>
      <c r="W13" s="116">
        <v>0</v>
      </c>
      <c r="X13" s="116">
        <f t="array" ref="X13">SUM((VALUE(T$3:T$42)=VALUE(W13))*V$3:V$42)</f>
        <v>0</v>
      </c>
    </row>
    <row r="14" spans="1:29" ht="24" customHeight="1" x14ac:dyDescent="0.25">
      <c r="A14" s="119" t="s">
        <v>2495</v>
      </c>
      <c r="B14" s="120" t="s">
        <v>2495</v>
      </c>
      <c r="C14" s="121" t="s">
        <v>2495</v>
      </c>
      <c r="D14" s="122" t="s">
        <v>2615</v>
      </c>
      <c r="E14" s="122" t="s">
        <v>2504</v>
      </c>
      <c r="F14" s="122" t="s">
        <v>2496</v>
      </c>
      <c r="G14" s="122" t="s">
        <v>2495</v>
      </c>
      <c r="H14" s="122" t="s">
        <v>2495</v>
      </c>
      <c r="I14" s="117"/>
      <c r="J14" s="32" t="s">
        <v>0</v>
      </c>
      <c r="K14" s="76"/>
      <c r="L14" s="77"/>
      <c r="M14" s="32" t="s">
        <v>0</v>
      </c>
      <c r="N14" s="76"/>
      <c r="O14" s="77"/>
      <c r="P14" s="32" t="s">
        <v>0</v>
      </c>
      <c r="Q14" s="76"/>
      <c r="R14" s="77"/>
      <c r="T14" s="9">
        <v>5</v>
      </c>
      <c r="U14" s="9" t="s">
        <v>2117</v>
      </c>
      <c r="V14" s="8">
        <v>3</v>
      </c>
      <c r="W14" s="116">
        <v>1</v>
      </c>
      <c r="X14" s="116">
        <f t="array" ref="X14">SUM((VALUE(T$3:T$42)=VALUE(W14))*V$3:V$42)</f>
        <v>3</v>
      </c>
    </row>
    <row r="15" spans="1:29" ht="24" customHeight="1" x14ac:dyDescent="0.25">
      <c r="A15" s="125"/>
      <c r="B15" s="125"/>
      <c r="C15" s="125"/>
      <c r="D15" s="125"/>
      <c r="E15" s="125"/>
      <c r="F15" s="125"/>
      <c r="G15" s="125"/>
      <c r="H15" s="125"/>
      <c r="I15" s="127"/>
      <c r="J15" s="6" t="s">
        <v>0</v>
      </c>
      <c r="K15" s="76"/>
      <c r="L15" s="77"/>
      <c r="M15" s="6" t="s">
        <v>0</v>
      </c>
      <c r="N15" s="76"/>
      <c r="O15" s="77"/>
      <c r="P15" s="6" t="s">
        <v>0</v>
      </c>
      <c r="Q15" s="76"/>
      <c r="R15" s="77"/>
      <c r="T15" s="9">
        <v>7</v>
      </c>
      <c r="U15" s="9" t="s">
        <v>2127</v>
      </c>
      <c r="V15" s="8">
        <v>3</v>
      </c>
      <c r="W15" s="116">
        <v>2</v>
      </c>
      <c r="X15" s="116">
        <f t="array" ref="X15">SUM((VALUE(T$3:T$42)=VALUE(W15))*V$3:V$42)</f>
        <v>13</v>
      </c>
    </row>
    <row r="16" spans="1:29" ht="24" customHeight="1" x14ac:dyDescent="0.25">
      <c r="A16" s="126"/>
      <c r="B16" s="126"/>
      <c r="C16" s="126"/>
      <c r="D16" s="126"/>
      <c r="E16" s="126"/>
      <c r="F16" s="126"/>
      <c r="G16" s="126"/>
      <c r="H16" s="126"/>
      <c r="I16" s="128"/>
      <c r="J16" s="6" t="s">
        <v>0</v>
      </c>
      <c r="K16" s="76"/>
      <c r="L16" s="77"/>
      <c r="M16" s="6" t="s">
        <v>0</v>
      </c>
      <c r="N16" s="76"/>
      <c r="O16" s="77"/>
      <c r="P16" s="6" t="s">
        <v>0</v>
      </c>
      <c r="Q16" s="76"/>
      <c r="R16" s="77"/>
      <c r="T16" s="9">
        <v>7</v>
      </c>
      <c r="U16" s="9" t="s">
        <v>2139</v>
      </c>
      <c r="V16" s="8">
        <v>3</v>
      </c>
      <c r="W16" s="116">
        <v>3</v>
      </c>
      <c r="X16" s="116">
        <f t="array" ref="X16">SUM((VALUE(T$3:T$42)=VALUE(W16))*V$3:V$42)</f>
        <v>6</v>
      </c>
    </row>
    <row r="17" spans="1:24" ht="24" customHeight="1" x14ac:dyDescent="0.25">
      <c r="A17" s="60" t="s">
        <v>0</v>
      </c>
      <c r="B17" s="61"/>
      <c r="C17" s="61"/>
      <c r="D17" s="61"/>
      <c r="E17" s="61"/>
      <c r="F17" s="61"/>
      <c r="G17" s="60"/>
      <c r="H17" s="61" t="s">
        <v>51</v>
      </c>
      <c r="I17" s="61" t="s">
        <v>52</v>
      </c>
      <c r="J17" s="6" t="s">
        <v>0</v>
      </c>
      <c r="K17" s="76"/>
      <c r="L17" s="77"/>
      <c r="M17" s="6" t="s">
        <v>0</v>
      </c>
      <c r="N17" s="76"/>
      <c r="O17" s="77"/>
      <c r="P17" s="6" t="s">
        <v>0</v>
      </c>
      <c r="Q17" s="76"/>
      <c r="R17" s="77"/>
      <c r="T17" s="9"/>
      <c r="U17" s="9"/>
      <c r="V17" s="8"/>
      <c r="W17" s="116">
        <v>4</v>
      </c>
      <c r="X17" s="116">
        <f t="array" ref="X17">SUM((VALUE(T$3:T$42)=VALUE(W17))*V$3:V$42)</f>
        <v>6</v>
      </c>
    </row>
    <row r="18" spans="1:24" ht="24" customHeight="1" x14ac:dyDescent="0.25">
      <c r="A18" s="124" t="s">
        <v>53</v>
      </c>
      <c r="B18" s="63"/>
      <c r="C18" s="63"/>
      <c r="D18" s="63"/>
      <c r="E18" s="63"/>
      <c r="F18" s="63"/>
      <c r="G18" s="62" t="s">
        <v>54</v>
      </c>
      <c r="H18" s="63">
        <v>27</v>
      </c>
      <c r="I18" s="63">
        <v>2</v>
      </c>
      <c r="J18" s="6" t="s">
        <v>0</v>
      </c>
      <c r="K18" s="76"/>
      <c r="L18" s="77"/>
      <c r="M18" s="6" t="s">
        <v>0</v>
      </c>
      <c r="N18" s="76"/>
      <c r="O18" s="77"/>
      <c r="P18" s="6" t="s">
        <v>0</v>
      </c>
      <c r="Q18" s="76"/>
      <c r="R18" s="77"/>
      <c r="T18" s="9"/>
      <c r="U18" s="9"/>
      <c r="V18" s="8"/>
      <c r="W18" s="116">
        <v>5</v>
      </c>
      <c r="X18" s="116">
        <f t="array" ref="X18">SUM((VALUE(T$3:T$42)=VALUE(W18))*V$3:V$42)</f>
        <v>6</v>
      </c>
    </row>
    <row r="19" spans="1:24" ht="24" customHeight="1" x14ac:dyDescent="0.25">
      <c r="A19" s="64"/>
      <c r="B19" s="131"/>
      <c r="C19" s="131"/>
      <c r="D19" s="131"/>
      <c r="E19" s="131"/>
      <c r="F19" s="131"/>
      <c r="G19" s="64"/>
      <c r="H19" s="57" t="s">
        <v>2605</v>
      </c>
      <c r="I19" s="57" t="s">
        <v>2430</v>
      </c>
      <c r="J19" s="6" t="s">
        <v>0</v>
      </c>
      <c r="K19" s="76"/>
      <c r="L19" s="77"/>
      <c r="M19" s="6" t="s">
        <v>0</v>
      </c>
      <c r="N19" s="76"/>
      <c r="O19" s="77"/>
      <c r="P19" s="6" t="s">
        <v>0</v>
      </c>
      <c r="Q19" s="76"/>
      <c r="R19" s="77"/>
      <c r="T19" s="9"/>
      <c r="U19" s="9"/>
      <c r="V19" s="9"/>
      <c r="W19" s="116">
        <v>6</v>
      </c>
      <c r="X19" s="116">
        <f t="array" ref="X19">SUM((VALUE(T$3:T$42)=VALUE(W19))*V$3:V$42)</f>
        <v>0</v>
      </c>
    </row>
    <row r="20" spans="1:24" ht="24" customHeight="1" x14ac:dyDescent="0.25">
      <c r="A20" s="64"/>
      <c r="B20" s="132"/>
      <c r="C20" s="132"/>
      <c r="D20" s="132"/>
      <c r="E20" s="132"/>
      <c r="F20" s="132"/>
      <c r="G20" s="8"/>
      <c r="H20" s="65">
        <v>32</v>
      </c>
      <c r="I20" s="65">
        <v>9</v>
      </c>
      <c r="J20" s="6" t="s">
        <v>0</v>
      </c>
      <c r="K20" s="76"/>
      <c r="L20" s="77"/>
      <c r="M20" s="6" t="s">
        <v>0</v>
      </c>
      <c r="N20" s="76"/>
      <c r="O20" s="77"/>
      <c r="P20" s="6" t="s">
        <v>0</v>
      </c>
      <c r="Q20" s="76"/>
      <c r="R20" s="77"/>
      <c r="T20" s="9"/>
      <c r="U20" s="9"/>
      <c r="V20" s="9"/>
      <c r="W20" s="116">
        <v>7</v>
      </c>
      <c r="X20" s="116">
        <f t="array" ref="X20">SUM((VALUE(T$3:T$42)=VALUE(W20))*V$3:V$42)</f>
        <v>6</v>
      </c>
    </row>
    <row r="21" spans="1:24" ht="24" customHeight="1" x14ac:dyDescent="0.25">
      <c r="A21" s="66" t="s">
        <v>56</v>
      </c>
      <c r="B21" s="67" t="s">
        <v>2744</v>
      </c>
      <c r="C21" s="68"/>
      <c r="D21" s="68"/>
      <c r="E21" s="68"/>
      <c r="F21" s="68"/>
      <c r="G21" s="68"/>
      <c r="H21" s="68"/>
      <c r="I21" s="82"/>
      <c r="J21" s="6" t="s">
        <v>0</v>
      </c>
      <c r="K21" s="77"/>
      <c r="L21" s="77"/>
      <c r="M21" s="6" t="s">
        <v>0</v>
      </c>
      <c r="N21" s="77"/>
      <c r="O21" s="77"/>
      <c r="P21" s="6" t="s">
        <v>0</v>
      </c>
      <c r="Q21" s="77"/>
      <c r="R21" s="77"/>
      <c r="T21" s="9"/>
      <c r="U21" s="9"/>
      <c r="V21" s="9"/>
      <c r="W21" s="116" t="s">
        <v>2198</v>
      </c>
      <c r="X21" s="116">
        <f t="array" ref="X21">SUM((VALUE(T$3:T$42)&gt;7)*V$3:V$42)</f>
        <v>0</v>
      </c>
    </row>
    <row r="22" spans="1:24" ht="24" customHeight="1" x14ac:dyDescent="0.25">
      <c r="A22" s="64"/>
      <c r="B22" s="67" t="s">
        <v>2745</v>
      </c>
      <c r="C22" s="68"/>
      <c r="D22" s="68"/>
      <c r="E22" s="68"/>
      <c r="F22" s="68"/>
      <c r="G22" s="68"/>
      <c r="H22" s="68"/>
      <c r="I22" s="82"/>
      <c r="J22" s="6" t="s">
        <v>0</v>
      </c>
      <c r="K22" s="77"/>
      <c r="L22" s="77"/>
      <c r="M22" s="6" t="s">
        <v>0</v>
      </c>
      <c r="N22" s="77"/>
      <c r="O22" s="77"/>
      <c r="P22" s="6" t="s">
        <v>0</v>
      </c>
      <c r="Q22" s="77"/>
      <c r="R22" s="77"/>
      <c r="T22" s="9"/>
      <c r="U22" s="9"/>
      <c r="V22" s="9"/>
    </row>
    <row r="23" spans="1:24" ht="24" customHeight="1" x14ac:dyDescent="0.25">
      <c r="A23" s="40" t="s">
        <v>0</v>
      </c>
      <c r="B23" s="67"/>
      <c r="C23" s="68"/>
      <c r="D23" s="68"/>
      <c r="E23" s="68"/>
      <c r="F23" s="68"/>
      <c r="G23" s="68"/>
      <c r="H23" s="68"/>
      <c r="I23" s="82"/>
      <c r="J23" s="6" t="s">
        <v>0</v>
      </c>
      <c r="K23" s="76"/>
      <c r="L23" s="77"/>
      <c r="M23" s="6" t="s">
        <v>0</v>
      </c>
      <c r="N23" s="76"/>
      <c r="O23" s="77"/>
      <c r="P23" s="6" t="s">
        <v>0</v>
      </c>
      <c r="Q23" s="76"/>
      <c r="R23" s="77"/>
      <c r="T23" s="9"/>
      <c r="U23" s="9"/>
      <c r="V23" s="9"/>
    </row>
    <row r="24" spans="1:24" ht="24" customHeight="1" x14ac:dyDescent="0.25">
      <c r="A24" s="40" t="s">
        <v>0</v>
      </c>
      <c r="B24" s="67"/>
      <c r="C24" s="68"/>
      <c r="D24" s="68"/>
      <c r="E24" s="68"/>
      <c r="F24" s="68"/>
      <c r="G24" s="68"/>
      <c r="H24" s="68"/>
      <c r="I24" s="83"/>
      <c r="J24" s="6" t="s">
        <v>0</v>
      </c>
      <c r="K24" s="77"/>
      <c r="L24" s="77"/>
      <c r="M24" s="6" t="s">
        <v>0</v>
      </c>
      <c r="N24" s="77"/>
      <c r="O24" s="77"/>
      <c r="P24" s="6" t="s">
        <v>0</v>
      </c>
      <c r="Q24" s="77"/>
      <c r="R24" s="77"/>
      <c r="T24" s="9"/>
      <c r="U24" s="9"/>
      <c r="V24" s="9"/>
    </row>
    <row r="25" spans="1:24" ht="24" customHeight="1" x14ac:dyDescent="0.25">
      <c r="A25" s="64"/>
      <c r="B25" s="67"/>
      <c r="C25" s="68"/>
      <c r="D25" s="68"/>
      <c r="E25" s="68"/>
      <c r="F25" s="68"/>
      <c r="G25" s="68"/>
      <c r="H25" s="68"/>
      <c r="I25" s="82"/>
      <c r="J25" s="6" t="s">
        <v>0</v>
      </c>
      <c r="K25" s="76"/>
      <c r="L25" s="77"/>
      <c r="M25" s="6" t="s">
        <v>0</v>
      </c>
      <c r="N25" s="76"/>
      <c r="O25" s="77"/>
      <c r="P25" s="6" t="s">
        <v>0</v>
      </c>
      <c r="Q25" s="76"/>
      <c r="R25" s="77"/>
      <c r="T25" s="9"/>
      <c r="U25" s="9"/>
      <c r="V25" s="9"/>
    </row>
    <row r="26" spans="1:24" ht="24" customHeight="1" x14ac:dyDescent="0.25">
      <c r="A26" s="64"/>
      <c r="B26" s="67"/>
      <c r="C26" s="68"/>
      <c r="D26" s="68"/>
      <c r="E26" s="68"/>
      <c r="F26" s="68"/>
      <c r="G26" s="68"/>
      <c r="H26" s="68"/>
      <c r="I26" s="82"/>
      <c r="J26" s="6" t="s">
        <v>0</v>
      </c>
      <c r="K26" s="76"/>
      <c r="L26" s="77"/>
      <c r="M26" s="6" t="s">
        <v>0</v>
      </c>
      <c r="N26" s="76"/>
      <c r="O26" s="77"/>
      <c r="P26" s="6" t="s">
        <v>0</v>
      </c>
      <c r="Q26" s="76"/>
      <c r="R26" s="77"/>
      <c r="T26" s="9"/>
      <c r="U26" s="9"/>
      <c r="V26" s="9"/>
    </row>
    <row r="27" spans="1:24" ht="24" customHeight="1" x14ac:dyDescent="0.25">
      <c r="A27" s="64"/>
      <c r="B27" s="67"/>
      <c r="C27" s="68"/>
      <c r="D27" s="68"/>
      <c r="E27" s="68"/>
      <c r="F27" s="68"/>
      <c r="G27" s="68"/>
      <c r="H27" s="68"/>
      <c r="I27" s="82"/>
      <c r="J27" s="6" t="s">
        <v>0</v>
      </c>
      <c r="K27" s="76"/>
      <c r="L27" s="77"/>
      <c r="M27" s="6" t="s">
        <v>0</v>
      </c>
      <c r="N27" s="76"/>
      <c r="O27" s="77"/>
      <c r="P27" s="6" t="s">
        <v>0</v>
      </c>
      <c r="Q27" s="76"/>
      <c r="R27" s="77"/>
      <c r="T27" s="9"/>
      <c r="U27" s="9"/>
      <c r="V27" s="9"/>
    </row>
    <row r="28" spans="1:24" ht="24" customHeight="1" x14ac:dyDescent="0.25">
      <c r="A28" s="64"/>
      <c r="B28" s="67"/>
      <c r="C28" s="68"/>
      <c r="D28" s="68"/>
      <c r="E28" s="68"/>
      <c r="F28" s="68"/>
      <c r="G28" s="68"/>
      <c r="H28" s="68"/>
      <c r="I28" s="82"/>
      <c r="J28" s="6" t="s">
        <v>0</v>
      </c>
      <c r="K28" s="76"/>
      <c r="L28" s="77"/>
      <c r="M28" s="6" t="s">
        <v>0</v>
      </c>
      <c r="N28" s="76"/>
      <c r="O28" s="77"/>
      <c r="P28" s="6" t="s">
        <v>0</v>
      </c>
      <c r="Q28" s="76"/>
      <c r="R28" s="77"/>
      <c r="T28" s="9"/>
      <c r="U28" s="9"/>
      <c r="V28" s="9"/>
    </row>
    <row r="29" spans="1:24" ht="24" customHeight="1" x14ac:dyDescent="0.25">
      <c r="A29" s="64"/>
      <c r="B29" s="67"/>
      <c r="C29" s="68"/>
      <c r="D29" s="68"/>
      <c r="E29" s="68"/>
      <c r="F29" s="68"/>
      <c r="G29" s="68"/>
      <c r="H29" s="68"/>
      <c r="I29" s="82"/>
      <c r="J29" s="6" t="s">
        <v>0</v>
      </c>
      <c r="K29" s="76"/>
      <c r="L29" s="77"/>
      <c r="M29" s="6" t="s">
        <v>0</v>
      </c>
      <c r="N29" s="76"/>
      <c r="O29" s="77"/>
      <c r="P29" s="6" t="s">
        <v>0</v>
      </c>
      <c r="Q29" s="76"/>
      <c r="R29" s="77"/>
      <c r="T29" s="9"/>
      <c r="U29" s="9"/>
      <c r="V29" s="9"/>
    </row>
    <row r="30" spans="1:24" ht="24" customHeight="1" x14ac:dyDescent="0.25">
      <c r="A30" s="64"/>
      <c r="B30" s="67"/>
      <c r="C30" s="68"/>
      <c r="D30" s="68"/>
      <c r="E30" s="68"/>
      <c r="F30" s="68"/>
      <c r="G30" s="68"/>
      <c r="H30" s="68"/>
      <c r="I30" s="82"/>
      <c r="J30" s="6" t="s">
        <v>0</v>
      </c>
      <c r="K30" s="76"/>
      <c r="L30" s="77"/>
      <c r="M30" s="6" t="s">
        <v>0</v>
      </c>
      <c r="N30" s="76"/>
      <c r="O30" s="77"/>
      <c r="P30" s="6" t="s">
        <v>0</v>
      </c>
      <c r="Q30" s="76"/>
      <c r="R30" s="77"/>
      <c r="T30" s="9"/>
      <c r="U30" s="9"/>
      <c r="V30" s="9"/>
    </row>
    <row r="31" spans="1:24" ht="24" customHeight="1" x14ac:dyDescent="0.25">
      <c r="A31" s="64"/>
      <c r="B31" s="67"/>
      <c r="C31" s="68"/>
      <c r="D31" s="68"/>
      <c r="E31" s="68"/>
      <c r="F31" s="68"/>
      <c r="G31" s="68"/>
      <c r="H31" s="68"/>
      <c r="I31" s="82"/>
      <c r="J31" s="6" t="s">
        <v>0</v>
      </c>
      <c r="K31" s="76"/>
      <c r="L31" s="77"/>
      <c r="M31" s="6" t="s">
        <v>0</v>
      </c>
      <c r="N31" s="76"/>
      <c r="O31" s="77"/>
      <c r="P31" s="6" t="s">
        <v>0</v>
      </c>
      <c r="Q31" s="76"/>
      <c r="R31" s="77"/>
      <c r="T31" s="9"/>
      <c r="U31" s="9"/>
      <c r="V31" s="9"/>
    </row>
    <row r="32" spans="1:24" ht="24" customHeight="1" x14ac:dyDescent="0.25">
      <c r="A32" s="64"/>
      <c r="B32" s="67"/>
      <c r="C32" s="68"/>
      <c r="D32" s="68"/>
      <c r="E32" s="68"/>
      <c r="F32" s="68"/>
      <c r="G32" s="68"/>
      <c r="H32" s="68"/>
      <c r="I32" s="82"/>
      <c r="J32" s="6" t="s">
        <v>0</v>
      </c>
      <c r="K32" s="76"/>
      <c r="L32" s="77"/>
      <c r="M32" s="6" t="s">
        <v>0</v>
      </c>
      <c r="N32" s="76"/>
      <c r="O32" s="77"/>
      <c r="P32" s="6" t="s">
        <v>0</v>
      </c>
      <c r="Q32" s="76"/>
      <c r="R32" s="77"/>
      <c r="T32" s="9"/>
      <c r="U32" s="9"/>
      <c r="V32" s="9"/>
    </row>
    <row r="33" spans="1:22" ht="24" customHeight="1" x14ac:dyDescent="0.25">
      <c r="A33" s="64"/>
      <c r="B33" s="67"/>
      <c r="C33" s="68"/>
      <c r="D33" s="68"/>
      <c r="E33" s="68"/>
      <c r="F33" s="68"/>
      <c r="G33" s="68"/>
      <c r="H33" s="68"/>
      <c r="I33" s="82"/>
      <c r="J33" s="6" t="s">
        <v>0</v>
      </c>
      <c r="K33" s="76"/>
      <c r="L33" s="77"/>
      <c r="M33" s="6" t="s">
        <v>0</v>
      </c>
      <c r="N33" s="76"/>
      <c r="O33" s="77"/>
      <c r="P33" s="6" t="s">
        <v>0</v>
      </c>
      <c r="Q33" s="76"/>
      <c r="R33" s="77"/>
      <c r="T33" s="9"/>
      <c r="U33" s="9"/>
      <c r="V33" s="9"/>
    </row>
    <row r="34" spans="1:22" ht="24" customHeight="1" x14ac:dyDescent="0.25">
      <c r="A34" s="64"/>
      <c r="B34" s="67"/>
      <c r="C34" s="68"/>
      <c r="D34" s="68"/>
      <c r="E34" s="68"/>
      <c r="F34" s="68"/>
      <c r="G34" s="68"/>
      <c r="H34" s="68"/>
      <c r="I34" s="82"/>
      <c r="J34" s="6" t="s">
        <v>0</v>
      </c>
      <c r="K34" s="76"/>
      <c r="L34" s="77"/>
      <c r="M34" s="6" t="s">
        <v>0</v>
      </c>
      <c r="N34" s="76"/>
      <c r="O34" s="77"/>
      <c r="P34" s="6" t="s">
        <v>0</v>
      </c>
      <c r="Q34" s="76"/>
      <c r="R34" s="77"/>
      <c r="T34" s="9"/>
      <c r="U34" s="9"/>
      <c r="V34" s="9"/>
    </row>
    <row r="35" spans="1:22" ht="24" customHeight="1" x14ac:dyDescent="0.25">
      <c r="A35" s="64"/>
      <c r="B35" s="67"/>
      <c r="C35" s="68"/>
      <c r="D35" s="68"/>
      <c r="E35" s="68"/>
      <c r="F35" s="68"/>
      <c r="G35" s="68"/>
      <c r="H35" s="68"/>
      <c r="I35" s="82"/>
      <c r="J35" s="6" t="s">
        <v>0</v>
      </c>
      <c r="K35" s="76"/>
      <c r="L35" s="77"/>
      <c r="M35" s="6" t="s">
        <v>0</v>
      </c>
      <c r="N35" s="76"/>
      <c r="O35" s="77"/>
      <c r="P35" s="6" t="s">
        <v>0</v>
      </c>
      <c r="Q35" s="76"/>
      <c r="R35" s="77"/>
      <c r="T35" s="9"/>
      <c r="U35" s="9"/>
      <c r="V35" s="9"/>
    </row>
    <row r="36" spans="1:22" ht="24" customHeight="1" x14ac:dyDescent="0.25">
      <c r="A36" s="64"/>
      <c r="B36" s="67"/>
      <c r="C36" s="68"/>
      <c r="D36" s="68"/>
      <c r="E36" s="68"/>
      <c r="F36" s="68"/>
      <c r="G36" s="68"/>
      <c r="H36" s="68"/>
      <c r="I36" s="82"/>
      <c r="J36" s="6" t="s">
        <v>0</v>
      </c>
      <c r="K36" s="76"/>
      <c r="L36" s="77"/>
      <c r="M36" s="6" t="s">
        <v>0</v>
      </c>
      <c r="N36" s="76"/>
      <c r="O36" s="77"/>
      <c r="P36" s="6" t="s">
        <v>0</v>
      </c>
      <c r="Q36" s="76"/>
      <c r="R36" s="77"/>
      <c r="T36" s="9"/>
      <c r="U36" s="9"/>
      <c r="V36" s="9"/>
    </row>
    <row r="37" spans="1:22" ht="24" customHeight="1" x14ac:dyDescent="0.25">
      <c r="A37" s="64"/>
      <c r="B37" s="67"/>
      <c r="C37" s="68"/>
      <c r="D37" s="68"/>
      <c r="E37" s="68"/>
      <c r="F37" s="68"/>
      <c r="G37" s="68"/>
      <c r="H37" s="68"/>
      <c r="I37" s="82"/>
      <c r="J37" s="6" t="s">
        <v>0</v>
      </c>
      <c r="K37" s="76"/>
      <c r="L37" s="77"/>
      <c r="M37" s="6" t="s">
        <v>0</v>
      </c>
      <c r="N37" s="76"/>
      <c r="O37" s="77"/>
      <c r="P37" s="6" t="s">
        <v>0</v>
      </c>
      <c r="Q37" s="76"/>
      <c r="R37" s="77"/>
      <c r="T37" s="9"/>
      <c r="U37" s="9"/>
      <c r="V37" s="9"/>
    </row>
    <row r="38" spans="1:22" ht="24" customHeight="1" x14ac:dyDescent="0.25">
      <c r="A38" s="64"/>
      <c r="B38" s="67"/>
      <c r="C38" s="68"/>
      <c r="D38" s="68"/>
      <c r="E38" s="68"/>
      <c r="F38" s="68"/>
      <c r="G38" s="68"/>
      <c r="H38" s="68"/>
      <c r="I38" s="82"/>
      <c r="J38" s="6" t="s">
        <v>0</v>
      </c>
      <c r="K38" s="76"/>
      <c r="L38" s="77"/>
      <c r="M38" s="6" t="s">
        <v>0</v>
      </c>
      <c r="N38" s="76"/>
      <c r="O38" s="77"/>
      <c r="P38" s="6" t="s">
        <v>0</v>
      </c>
      <c r="Q38" s="76"/>
      <c r="R38" s="77"/>
      <c r="T38" s="9"/>
      <c r="U38" s="9"/>
      <c r="V38" s="9"/>
    </row>
    <row r="39" spans="1:22" ht="24" customHeight="1" x14ac:dyDescent="0.25">
      <c r="A39" s="64"/>
      <c r="B39" s="67"/>
      <c r="C39" s="68"/>
      <c r="D39" s="68"/>
      <c r="E39" s="68"/>
      <c r="F39" s="68"/>
      <c r="G39" s="68"/>
      <c r="H39" s="68"/>
      <c r="I39" s="82"/>
      <c r="J39" s="6" t="s">
        <v>0</v>
      </c>
      <c r="K39" s="76"/>
      <c r="L39" s="77"/>
      <c r="M39" s="6" t="s">
        <v>0</v>
      </c>
      <c r="N39" s="76"/>
      <c r="O39" s="77"/>
      <c r="P39" s="6" t="s">
        <v>0</v>
      </c>
      <c r="Q39" s="76"/>
      <c r="R39" s="77"/>
      <c r="T39" s="9"/>
      <c r="U39" s="9"/>
      <c r="V39" s="9"/>
    </row>
    <row r="40" spans="1:22" ht="24" customHeight="1" x14ac:dyDescent="0.25">
      <c r="A40" s="64"/>
      <c r="B40" s="67"/>
      <c r="C40" s="68"/>
      <c r="D40" s="68"/>
      <c r="E40" s="68"/>
      <c r="F40" s="68"/>
      <c r="G40" s="68"/>
      <c r="H40" s="68"/>
      <c r="I40" s="82"/>
      <c r="J40" s="6" t="s">
        <v>0</v>
      </c>
      <c r="K40" s="76"/>
      <c r="L40" s="77"/>
      <c r="M40" s="6" t="s">
        <v>0</v>
      </c>
      <c r="N40" s="76"/>
      <c r="O40" s="77"/>
      <c r="P40" s="6" t="s">
        <v>0</v>
      </c>
      <c r="Q40" s="76"/>
      <c r="R40" s="77"/>
      <c r="T40" s="9"/>
      <c r="U40" s="9"/>
      <c r="V40" s="9"/>
    </row>
    <row r="41" spans="1:22" ht="24" customHeight="1" x14ac:dyDescent="0.25">
      <c r="A41" s="64"/>
      <c r="B41" s="67"/>
      <c r="C41" s="68"/>
      <c r="D41" s="68"/>
      <c r="E41" s="68"/>
      <c r="F41" s="68"/>
      <c r="G41" s="68"/>
      <c r="H41" s="68"/>
      <c r="I41" s="82"/>
      <c r="J41" s="6" t="s">
        <v>0</v>
      </c>
      <c r="K41" s="76"/>
      <c r="L41" s="77"/>
      <c r="M41" s="6" t="s">
        <v>0</v>
      </c>
      <c r="N41" s="76"/>
      <c r="O41" s="77"/>
      <c r="P41" s="6" t="s">
        <v>0</v>
      </c>
      <c r="Q41" s="76"/>
      <c r="R41" s="77"/>
      <c r="T41" s="9"/>
      <c r="U41" s="9"/>
      <c r="V41" s="9"/>
    </row>
    <row r="42" spans="1:22" ht="24" customHeight="1" x14ac:dyDescent="0.25">
      <c r="A42" s="8"/>
      <c r="B42" s="67"/>
      <c r="C42" s="68"/>
      <c r="D42" s="68"/>
      <c r="E42" s="68"/>
      <c r="F42" s="68"/>
      <c r="G42" s="68"/>
      <c r="H42" s="68"/>
      <c r="I42" s="82"/>
      <c r="J42" s="6" t="s">
        <v>0</v>
      </c>
      <c r="K42" s="76"/>
      <c r="L42" s="77"/>
      <c r="M42" s="6" t="s">
        <v>0</v>
      </c>
      <c r="N42" s="76"/>
      <c r="O42" s="77"/>
      <c r="P42" s="6" t="s">
        <v>0</v>
      </c>
      <c r="Q42" s="76"/>
      <c r="R42" s="77"/>
      <c r="T42" s="9"/>
      <c r="U42" s="9"/>
      <c r="V42" s="9"/>
    </row>
    <row r="43" spans="1:22" ht="24" customHeight="1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M43" s="32"/>
      <c r="P43" s="32"/>
    </row>
    <row r="44" spans="1:22" ht="24" customHeight="1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M44" s="32"/>
      <c r="P44" s="32"/>
    </row>
  </sheetData>
  <sheetProtection formatCells="0" formatColumns="0" formatRows="0" insertColumns="0" insertRows="0" insertHyperlinks="0" deleteColumns="0" deleteRows="0" sort="0" autoFilter="0" pivotTables="0"/>
  <mergeCells count="24">
    <mergeCell ref="A15:A16"/>
    <mergeCell ref="B15:B16"/>
    <mergeCell ref="B19:B20"/>
    <mergeCell ref="C4:C7"/>
    <mergeCell ref="C10:C13"/>
    <mergeCell ref="C15:C16"/>
    <mergeCell ref="C19:C20"/>
    <mergeCell ref="F19:F20"/>
    <mergeCell ref="G4:G7"/>
    <mergeCell ref="G10:G13"/>
    <mergeCell ref="G15:G16"/>
    <mergeCell ref="D4:D7"/>
    <mergeCell ref="D10:D13"/>
    <mergeCell ref="D15:D16"/>
    <mergeCell ref="D19:D20"/>
    <mergeCell ref="E4:E7"/>
    <mergeCell ref="E10:E13"/>
    <mergeCell ref="E15:E16"/>
    <mergeCell ref="E19:E20"/>
    <mergeCell ref="H15:H16"/>
    <mergeCell ref="I15:I16"/>
    <mergeCell ref="F4:F7"/>
    <mergeCell ref="F10:F13"/>
    <mergeCell ref="F15:F16"/>
  </mergeCells>
  <phoneticPr fontId="11" type="noConversion"/>
  <dataValidations count="1">
    <dataValidation type="list" allowBlank="1" showInputMessage="1" showErrorMessage="1" sqref="X2" xr:uid="{00000000-0002-0000-0000-000000000000}">
      <formula1>"精灵,皇家护卫,巫师,龙族,梦魇,主教,超越者"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Pict="0" macro="[0]!SearchClassCard">
                <anchor moveWithCells="1" sizeWithCells="1">
                  <from>
                    <xdr:col>24</xdr:col>
                    <xdr:colOff>335280</xdr:colOff>
                    <xdr:row>1</xdr:row>
                    <xdr:rowOff>99060</xdr:rowOff>
                  </from>
                  <to>
                    <xdr:col>24</xdr:col>
                    <xdr:colOff>1524000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Pict="0" macro="[0]!SearchNeutralCard">
                <anchor moveWithCells="1" sizeWithCells="1">
                  <from>
                    <xdr:col>24</xdr:col>
                    <xdr:colOff>1828800</xdr:colOff>
                    <xdr:row>1</xdr:row>
                    <xdr:rowOff>99060</xdr:rowOff>
                  </from>
                  <to>
                    <xdr:col>25</xdr:col>
                    <xdr:colOff>1059180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Pict="0" macro="[0]!ShowEnterCard">
                <anchor moveWithCells="1" sizeWithCells="1">
                  <from>
                    <xdr:col>25</xdr:col>
                    <xdr:colOff>1371600</xdr:colOff>
                    <xdr:row>1</xdr:row>
                    <xdr:rowOff>99060</xdr:rowOff>
                  </from>
                  <to>
                    <xdr:col>26</xdr:col>
                    <xdr:colOff>601980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Pict="0" macro="[0]!DelectCard">
                <anchor moveWithCells="1" sizeWithCells="1">
                  <from>
                    <xdr:col>26</xdr:col>
                    <xdr:colOff>891540</xdr:colOff>
                    <xdr:row>1</xdr:row>
                    <xdr:rowOff>99060</xdr:rowOff>
                  </from>
                  <to>
                    <xdr:col>27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Pict="0" macro="[0]!AddToOrigDeck">
                <anchor moveWithCells="1" sizeWithCells="1">
                  <from>
                    <xdr:col>27</xdr:col>
                    <xdr:colOff>434340</xdr:colOff>
                    <xdr:row>1</xdr:row>
                    <xdr:rowOff>99060</xdr:rowOff>
                  </from>
                  <to>
                    <xdr:col>27</xdr:col>
                    <xdr:colOff>1615440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9" name="TurnStartBtn">
              <controlPr defaultSize="0" print="0" autoPict="0" macro="[0]!SwapMove">
                <anchor moveWithCells="1" sizeWithCells="1">
                  <from>
                    <xdr:col>0</xdr:col>
                    <xdr:colOff>213360</xdr:colOff>
                    <xdr:row>33</xdr:row>
                    <xdr:rowOff>152400</xdr:rowOff>
                  </from>
                  <to>
                    <xdr:col>0</xdr:col>
                    <xdr:colOff>1508760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Pict="0" macro="[0]!SelectDeck">
                <anchor moveWithCells="1" sizeWithCells="1">
                  <from>
                    <xdr:col>22</xdr:col>
                    <xdr:colOff>167640</xdr:colOff>
                    <xdr:row>6</xdr:row>
                    <xdr:rowOff>99060</xdr:rowOff>
                  </from>
                  <to>
                    <xdr:col>23</xdr:col>
                    <xdr:colOff>701040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Pict="0" macro="[0]!SaveDeck">
                <anchor moveWithCells="1" sizeWithCells="1">
                  <from>
                    <xdr:col>22</xdr:col>
                    <xdr:colOff>167640</xdr:colOff>
                    <xdr:row>4</xdr:row>
                    <xdr:rowOff>129540</xdr:rowOff>
                  </from>
                  <to>
                    <xdr:col>23</xdr:col>
                    <xdr:colOff>251460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Pict="0" macro="[0]!ShowEffect">
                <anchor moveWithCells="1" sizeWithCells="1">
                  <from>
                    <xdr:col>22</xdr:col>
                    <xdr:colOff>167640</xdr:colOff>
                    <xdr:row>8</xdr:row>
                    <xdr:rowOff>99060</xdr:rowOff>
                  </from>
                  <to>
                    <xdr:col>23</xdr:col>
                    <xdr:colOff>701040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3" name="Button 38">
              <controlPr defaultSize="0" print="0" autoPict="0" macro="[0]!DeleteDeck">
                <anchor moveWithCells="1" sizeWithCells="1">
                  <from>
                    <xdr:col>23</xdr:col>
                    <xdr:colOff>449580</xdr:colOff>
                    <xdr:row>4</xdr:row>
                    <xdr:rowOff>129540</xdr:rowOff>
                  </from>
                  <to>
                    <xdr:col>23</xdr:col>
                    <xdr:colOff>1348740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4" name="Button 1">
              <controlPr defaultSize="0" print="0" autoPict="0" macro="[0]!ShowEffect">
                <anchor moveWithCells="1" sizeWithCells="1">
                  <from>
                    <xdr:col>7</xdr:col>
                    <xdr:colOff>259080</xdr:colOff>
                    <xdr:row>1</xdr:row>
                    <xdr:rowOff>99060</xdr:rowOff>
                  </from>
                  <to>
                    <xdr:col>7</xdr:col>
                    <xdr:colOff>1554480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5" name="StartGameBtn">
              <controlPr defaultSize="0" print="0" autoPict="0" macro="[0]!StartGame">
                <anchor moveWithCells="1" sizeWithCells="1">
                  <from>
                    <xdr:col>8</xdr:col>
                    <xdr:colOff>220980</xdr:colOff>
                    <xdr:row>1</xdr:row>
                    <xdr:rowOff>99060</xdr:rowOff>
                  </from>
                  <to>
                    <xdr:col>8</xdr:col>
                    <xdr:colOff>1516380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6" name="CoverBtn">
              <controlPr defaultSize="0" print="0" autoPict="0" macro="[0]!CoverHands">
                <anchor moveWithCells="1" sizeWithCells="1">
                  <from>
                    <xdr:col>7</xdr:col>
                    <xdr:colOff>259080</xdr:colOff>
                    <xdr:row>7</xdr:row>
                    <xdr:rowOff>99060</xdr:rowOff>
                  </from>
                  <to>
                    <xdr:col>7</xdr:col>
                    <xdr:colOff>1554480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7" name="PPBtn">
              <controlPr defaultSize="0" print="0" autoPict="0" macro="[0]!MatchGetPP">
                <anchor moveWithCells="1" sizeWithCells="1">
                  <from>
                    <xdr:col>8</xdr:col>
                    <xdr:colOff>220980</xdr:colOff>
                    <xdr:row>7</xdr:row>
                    <xdr:rowOff>99060</xdr:rowOff>
                  </from>
                  <to>
                    <xdr:col>8</xdr:col>
                    <xdr:colOff>1516380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8" name="EvolveBtn">
              <controlPr defaultSize="0" print="0" autoPict="0" macro="[0]!MatchEvolve">
                <anchor moveWithCells="1" sizeWithCells="1">
                  <from>
                    <xdr:col>7</xdr:col>
                    <xdr:colOff>259080</xdr:colOff>
                    <xdr:row>9</xdr:row>
                    <xdr:rowOff>99060</xdr:rowOff>
                  </from>
                  <to>
                    <xdr:col>7</xdr:col>
                    <xdr:colOff>1554480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9" name="SuperEvolveBtn">
              <controlPr defaultSize="0" print="0" autoPict="0" macro="[0]!MatchSuperEvolve">
                <anchor moveWithCells="1" sizeWithCells="1">
                  <from>
                    <xdr:col>8</xdr:col>
                    <xdr:colOff>220980</xdr:colOff>
                    <xdr:row>9</xdr:row>
                    <xdr:rowOff>99060</xdr:rowOff>
                  </from>
                  <to>
                    <xdr:col>8</xdr:col>
                    <xdr:colOff>1516380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0" name="PlayBtn">
              <controlPr defaultSize="0" print="0" autoPict="0" macro="[0]!MatchPlay">
                <anchor moveWithCells="1" sizeWithCells="1">
                  <from>
                    <xdr:col>7</xdr:col>
                    <xdr:colOff>251460</xdr:colOff>
                    <xdr:row>11</xdr:row>
                    <xdr:rowOff>99060</xdr:rowOff>
                  </from>
                  <to>
                    <xdr:col>7</xdr:col>
                    <xdr:colOff>1546860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1" name="FuseBtn">
              <controlPr defaultSize="0" print="0" autoPict="0" macro="[0]!MatchFuse">
                <anchor moveWithCells="1" sizeWithCells="1">
                  <from>
                    <xdr:col>8</xdr:col>
                    <xdr:colOff>220980</xdr:colOff>
                    <xdr:row>11</xdr:row>
                    <xdr:rowOff>99060</xdr:rowOff>
                  </from>
                  <to>
                    <xdr:col>8</xdr:col>
                    <xdr:colOff>1516380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2" name="TurnStartBtn">
              <controlPr defaultSize="0" print="0" autoPict="0" macro="[0]!TurnStart">
                <anchor moveWithCells="1" sizeWithCells="1">
                  <from>
                    <xdr:col>7</xdr:col>
                    <xdr:colOff>259080</xdr:colOff>
                    <xdr:row>4</xdr:row>
                    <xdr:rowOff>99060</xdr:rowOff>
                  </from>
                  <to>
                    <xdr:col>7</xdr:col>
                    <xdr:colOff>1554480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3" name="TurnEndBtn">
              <controlPr defaultSize="0" print="0" autoPict="0" macro="[0]!TurnEnd">
                <anchor moveWithCells="1" sizeWithCells="1">
                  <from>
                    <xdr:col>8</xdr:col>
                    <xdr:colOff>220980</xdr:colOff>
                    <xdr:row>4</xdr:row>
                    <xdr:rowOff>99060</xdr:rowOff>
                  </from>
                  <to>
                    <xdr:col>8</xdr:col>
                    <xdr:colOff>1516380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4" name="CrestBtn">
              <controlPr defaultSize="0" print="0" autoPict="0" macro="[0]!SwapCrest">
                <anchor moveWithCells="1" sizeWithCells="1">
                  <from>
                    <xdr:col>0</xdr:col>
                    <xdr:colOff>213360</xdr:colOff>
                    <xdr:row>18</xdr:row>
                    <xdr:rowOff>83820</xdr:rowOff>
                  </from>
                  <to>
                    <xdr:col>0</xdr:col>
                    <xdr:colOff>1508760</xdr:colOff>
                    <xdr:row>19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192"/>
  <sheetViews>
    <sheetView showGridLines="0" topLeftCell="A166" workbookViewId="0">
      <selection activeCell="C190" sqref="C190"/>
    </sheetView>
  </sheetViews>
  <sheetFormatPr defaultColWidth="20.77734375" defaultRowHeight="18" customHeight="1" x14ac:dyDescent="0.25"/>
  <cols>
    <col min="1" max="1" width="20.77734375" style="25"/>
    <col min="2" max="16384" width="20.77734375" style="26"/>
  </cols>
  <sheetData>
    <row r="1" spans="1:1" s="22" customFormat="1" ht="18" customHeight="1" thickBot="1" x14ac:dyDescent="0.3">
      <c r="A1" s="27" t="s">
        <v>57</v>
      </c>
    </row>
    <row r="2" spans="1:1" s="23" customFormat="1" ht="18" customHeight="1" x14ac:dyDescent="0.25">
      <c r="A2" s="28" t="s">
        <v>58</v>
      </c>
    </row>
    <row r="3" spans="1:1" ht="18" customHeight="1" x14ac:dyDescent="0.25">
      <c r="A3" s="25" t="s">
        <v>59</v>
      </c>
    </row>
    <row r="4" spans="1:1" ht="18" customHeight="1" x14ac:dyDescent="0.25">
      <c r="A4" s="29" t="s">
        <v>60</v>
      </c>
    </row>
    <row r="5" spans="1:1" s="24" customFormat="1" ht="18" customHeight="1" x14ac:dyDescent="0.25">
      <c r="A5" s="30" t="s">
        <v>61</v>
      </c>
    </row>
    <row r="6" spans="1:1" ht="18" customHeight="1" x14ac:dyDescent="0.25">
      <c r="A6" s="25" t="s">
        <v>62</v>
      </c>
    </row>
    <row r="7" spans="1:1" ht="18" customHeight="1" x14ac:dyDescent="0.25">
      <c r="A7" s="25" t="s">
        <v>63</v>
      </c>
    </row>
    <row r="8" spans="1:1" s="22" customFormat="1" ht="18" customHeight="1" thickBot="1" x14ac:dyDescent="0.3">
      <c r="A8" s="27" t="s">
        <v>64</v>
      </c>
    </row>
    <row r="9" spans="1:1" s="23" customFormat="1" ht="18" customHeight="1" x14ac:dyDescent="0.25">
      <c r="A9" s="28" t="s">
        <v>65</v>
      </c>
    </row>
    <row r="10" spans="1:1" ht="18" customHeight="1" x14ac:dyDescent="0.25">
      <c r="A10" s="25" t="s">
        <v>59</v>
      </c>
    </row>
    <row r="11" spans="1:1" ht="18" customHeight="1" x14ac:dyDescent="0.25">
      <c r="A11" s="25" t="s">
        <v>66</v>
      </c>
    </row>
    <row r="12" spans="1:1" s="22" customFormat="1" ht="18" customHeight="1" thickBot="1" x14ac:dyDescent="0.3">
      <c r="A12" s="27" t="s">
        <v>67</v>
      </c>
    </row>
    <row r="13" spans="1:1" s="23" customFormat="1" ht="18" customHeight="1" x14ac:dyDescent="0.25">
      <c r="A13" s="28" t="s">
        <v>68</v>
      </c>
    </row>
    <row r="14" spans="1:1" ht="18" customHeight="1" x14ac:dyDescent="0.25">
      <c r="A14" s="25" t="s">
        <v>69</v>
      </c>
    </row>
    <row r="15" spans="1:1" ht="18" customHeight="1" x14ac:dyDescent="0.25">
      <c r="A15" s="25" t="s">
        <v>70</v>
      </c>
    </row>
    <row r="16" spans="1:1" ht="18" customHeight="1" x14ac:dyDescent="0.25">
      <c r="A16" s="25" t="s">
        <v>71</v>
      </c>
    </row>
    <row r="17" spans="1:1" ht="18" customHeight="1" x14ac:dyDescent="0.25">
      <c r="A17" s="25" t="s">
        <v>72</v>
      </c>
    </row>
    <row r="18" spans="1:1" ht="18" customHeight="1" x14ac:dyDescent="0.25">
      <c r="A18" s="25" t="s">
        <v>73</v>
      </c>
    </row>
    <row r="19" spans="1:1" ht="18" customHeight="1" x14ac:dyDescent="0.25">
      <c r="A19" s="25" t="s">
        <v>74</v>
      </c>
    </row>
    <row r="20" spans="1:1" s="22" customFormat="1" ht="18" customHeight="1" thickBot="1" x14ac:dyDescent="0.3">
      <c r="A20" s="27" t="s">
        <v>75</v>
      </c>
    </row>
    <row r="21" spans="1:1" s="23" customFormat="1" ht="18" customHeight="1" x14ac:dyDescent="0.25">
      <c r="A21" s="28" t="s">
        <v>76</v>
      </c>
    </row>
    <row r="22" spans="1:1" ht="18" customHeight="1" x14ac:dyDescent="0.25">
      <c r="A22" s="25" t="s">
        <v>77</v>
      </c>
    </row>
    <row r="23" spans="1:1" ht="18" customHeight="1" x14ac:dyDescent="0.25">
      <c r="A23" s="25" t="s">
        <v>78</v>
      </c>
    </row>
    <row r="24" spans="1:1" ht="18" customHeight="1" x14ac:dyDescent="0.25">
      <c r="A24" s="25" t="s">
        <v>79</v>
      </c>
    </row>
    <row r="25" spans="1:1" s="22" customFormat="1" ht="18" customHeight="1" thickBot="1" x14ac:dyDescent="0.3">
      <c r="A25" s="27" t="s">
        <v>80</v>
      </c>
    </row>
    <row r="26" spans="1:1" s="23" customFormat="1" ht="18" customHeight="1" x14ac:dyDescent="0.25">
      <c r="A26" s="28" t="s">
        <v>81</v>
      </c>
    </row>
    <row r="27" spans="1:1" ht="18" customHeight="1" x14ac:dyDescent="0.25">
      <c r="A27" s="25" t="s">
        <v>82</v>
      </c>
    </row>
    <row r="28" spans="1:1" ht="18" customHeight="1" x14ac:dyDescent="0.25">
      <c r="A28" s="25" t="s">
        <v>83</v>
      </c>
    </row>
    <row r="29" spans="1:1" ht="18" customHeight="1" x14ac:dyDescent="0.25">
      <c r="A29" s="25" t="s">
        <v>84</v>
      </c>
    </row>
    <row r="30" spans="1:1" ht="18" customHeight="1" x14ac:dyDescent="0.25">
      <c r="A30" s="25" t="s">
        <v>2326</v>
      </c>
    </row>
    <row r="31" spans="1:1" s="22" customFormat="1" ht="18" customHeight="1" thickBot="1" x14ac:dyDescent="0.3">
      <c r="A31" s="27" t="s">
        <v>85</v>
      </c>
    </row>
    <row r="32" spans="1:1" s="23" customFormat="1" ht="18" customHeight="1" x14ac:dyDescent="0.25">
      <c r="A32" s="28" t="s">
        <v>86</v>
      </c>
    </row>
    <row r="33" spans="1:1" ht="18" customHeight="1" x14ac:dyDescent="0.25">
      <c r="A33" s="25" t="s">
        <v>82</v>
      </c>
    </row>
    <row r="34" spans="1:1" ht="18" customHeight="1" x14ac:dyDescent="0.25">
      <c r="A34" s="25" t="s">
        <v>87</v>
      </c>
    </row>
    <row r="35" spans="1:1" ht="18" customHeight="1" x14ac:dyDescent="0.25">
      <c r="A35" s="25" t="s">
        <v>88</v>
      </c>
    </row>
    <row r="36" spans="1:1" ht="18" customHeight="1" x14ac:dyDescent="0.25">
      <c r="A36" s="25" t="s">
        <v>89</v>
      </c>
    </row>
    <row r="37" spans="1:1" ht="18" customHeight="1" x14ac:dyDescent="0.25">
      <c r="A37" s="25" t="s">
        <v>90</v>
      </c>
    </row>
    <row r="38" spans="1:1" ht="18" customHeight="1" x14ac:dyDescent="0.25">
      <c r="A38" s="25" t="s">
        <v>91</v>
      </c>
    </row>
    <row r="39" spans="1:1" s="22" customFormat="1" ht="18" customHeight="1" thickBot="1" x14ac:dyDescent="0.3">
      <c r="A39" s="27" t="s">
        <v>92</v>
      </c>
    </row>
    <row r="40" spans="1:1" s="23" customFormat="1" ht="18" customHeight="1" x14ac:dyDescent="0.25">
      <c r="A40" s="31" t="s">
        <v>93</v>
      </c>
    </row>
    <row r="41" spans="1:1" ht="18" customHeight="1" x14ac:dyDescent="0.25">
      <c r="A41" s="25" t="s">
        <v>94</v>
      </c>
    </row>
    <row r="42" spans="1:1" ht="18" customHeight="1" x14ac:dyDescent="0.25">
      <c r="A42" s="25" t="s">
        <v>1900</v>
      </c>
    </row>
    <row r="43" spans="1:1" ht="18" customHeight="1" x14ac:dyDescent="0.25">
      <c r="A43" s="25" t="s">
        <v>95</v>
      </c>
    </row>
    <row r="44" spans="1:1" ht="18" customHeight="1" x14ac:dyDescent="0.25">
      <c r="A44" s="25" t="s">
        <v>96</v>
      </c>
    </row>
    <row r="45" spans="1:1" s="22" customFormat="1" ht="18" customHeight="1" thickBot="1" x14ac:dyDescent="0.3">
      <c r="A45" s="27" t="s">
        <v>97</v>
      </c>
    </row>
    <row r="46" spans="1:1" s="23" customFormat="1" ht="18" customHeight="1" x14ac:dyDescent="0.25">
      <c r="A46" s="31" t="s">
        <v>1902</v>
      </c>
    </row>
    <row r="47" spans="1:1" ht="18" customHeight="1" x14ac:dyDescent="0.25">
      <c r="A47" s="25" t="s">
        <v>1908</v>
      </c>
    </row>
    <row r="48" spans="1:1" ht="18" customHeight="1" x14ac:dyDescent="0.25">
      <c r="A48" s="25" t="s">
        <v>1898</v>
      </c>
    </row>
    <row r="49" spans="1:1" ht="18" customHeight="1" x14ac:dyDescent="0.25">
      <c r="A49" s="25" t="s">
        <v>1899</v>
      </c>
    </row>
    <row r="50" spans="1:1" ht="18" customHeight="1" x14ac:dyDescent="0.25">
      <c r="A50" s="25" t="s">
        <v>1901</v>
      </c>
    </row>
    <row r="51" spans="1:1" s="22" customFormat="1" ht="18" customHeight="1" thickBot="1" x14ac:dyDescent="0.3">
      <c r="A51" s="27" t="s">
        <v>2327</v>
      </c>
    </row>
    <row r="52" spans="1:1" s="23" customFormat="1" ht="18" customHeight="1" x14ac:dyDescent="0.25">
      <c r="A52" s="31" t="s">
        <v>1910</v>
      </c>
    </row>
    <row r="53" spans="1:1" ht="18" customHeight="1" x14ac:dyDescent="0.25">
      <c r="A53" s="25" t="s">
        <v>1909</v>
      </c>
    </row>
    <row r="54" spans="1:1" ht="18" customHeight="1" x14ac:dyDescent="0.25">
      <c r="A54" s="25" t="s">
        <v>2180</v>
      </c>
    </row>
    <row r="55" spans="1:1" s="24" customFormat="1" ht="18" customHeight="1" thickBot="1" x14ac:dyDescent="0.3">
      <c r="A55" s="30" t="s">
        <v>1911</v>
      </c>
    </row>
    <row r="56" spans="1:1" s="108" customFormat="1" ht="18" customHeight="1" x14ac:dyDescent="0.25">
      <c r="A56" s="114" t="s">
        <v>2031</v>
      </c>
    </row>
    <row r="57" spans="1:1" ht="18" customHeight="1" x14ac:dyDescent="0.25">
      <c r="A57" s="25" t="s">
        <v>1909</v>
      </c>
    </row>
    <row r="58" spans="1:1" s="22" customFormat="1" ht="18" customHeight="1" thickBot="1" x14ac:dyDescent="0.3">
      <c r="A58" s="27" t="s">
        <v>2032</v>
      </c>
    </row>
    <row r="59" spans="1:1" s="108" customFormat="1" ht="18" customHeight="1" x14ac:dyDescent="0.25">
      <c r="A59" s="114" t="s">
        <v>2036</v>
      </c>
    </row>
    <row r="60" spans="1:1" ht="18" customHeight="1" x14ac:dyDescent="0.25">
      <c r="A60" s="25" t="s">
        <v>1909</v>
      </c>
    </row>
    <row r="61" spans="1:1" s="22" customFormat="1" ht="18" customHeight="1" thickBot="1" x14ac:dyDescent="0.3">
      <c r="A61" s="27" t="s">
        <v>2035</v>
      </c>
    </row>
    <row r="62" spans="1:1" s="23" customFormat="1" ht="18" customHeight="1" x14ac:dyDescent="0.25">
      <c r="A62" s="31" t="s">
        <v>2067</v>
      </c>
    </row>
    <row r="63" spans="1:1" ht="18" customHeight="1" x14ac:dyDescent="0.25">
      <c r="A63" s="25" t="s">
        <v>2068</v>
      </c>
    </row>
    <row r="64" spans="1:1" s="22" customFormat="1" ht="18" customHeight="1" thickBot="1" x14ac:dyDescent="0.3">
      <c r="A64" s="27" t="s">
        <v>2174</v>
      </c>
    </row>
    <row r="65" spans="1:1" s="23" customFormat="1" ht="18" customHeight="1" x14ac:dyDescent="0.25">
      <c r="A65" s="31" t="s">
        <v>2070</v>
      </c>
    </row>
    <row r="66" spans="1:1" ht="18" customHeight="1" x14ac:dyDescent="0.25">
      <c r="A66" s="25" t="s">
        <v>2069</v>
      </c>
    </row>
    <row r="67" spans="1:1" ht="18" customHeight="1" x14ac:dyDescent="0.25">
      <c r="A67" s="25" t="s">
        <v>2071</v>
      </c>
    </row>
    <row r="68" spans="1:1" ht="18" customHeight="1" x14ac:dyDescent="0.25">
      <c r="A68" s="25" t="s">
        <v>2072</v>
      </c>
    </row>
    <row r="69" spans="1:1" ht="18" customHeight="1" x14ac:dyDescent="0.25">
      <c r="A69" s="25" t="s">
        <v>2073</v>
      </c>
    </row>
    <row r="70" spans="1:1" ht="18" customHeight="1" x14ac:dyDescent="0.25">
      <c r="A70" s="25" t="s">
        <v>2082</v>
      </c>
    </row>
    <row r="71" spans="1:1" ht="18" customHeight="1" x14ac:dyDescent="0.25">
      <c r="A71" s="25" t="s">
        <v>2094</v>
      </c>
    </row>
    <row r="72" spans="1:1" ht="18" customHeight="1" x14ac:dyDescent="0.25">
      <c r="A72" s="25" t="s">
        <v>2096</v>
      </c>
    </row>
    <row r="73" spans="1:1" ht="18" customHeight="1" x14ac:dyDescent="0.25">
      <c r="A73" s="25" t="s">
        <v>2097</v>
      </c>
    </row>
    <row r="74" spans="1:1" ht="18" customHeight="1" x14ac:dyDescent="0.25">
      <c r="A74" s="25" t="s">
        <v>2150</v>
      </c>
    </row>
    <row r="75" spans="1:1" ht="18" customHeight="1" x14ac:dyDescent="0.25">
      <c r="A75" s="25" t="s">
        <v>2336</v>
      </c>
    </row>
    <row r="76" spans="1:1" s="22" customFormat="1" ht="18" customHeight="1" thickBot="1" x14ac:dyDescent="0.3">
      <c r="A76" s="27" t="s">
        <v>2328</v>
      </c>
    </row>
    <row r="77" spans="1:1" s="108" customFormat="1" ht="18" customHeight="1" x14ac:dyDescent="0.25">
      <c r="A77" s="31" t="s">
        <v>2175</v>
      </c>
    </row>
    <row r="78" spans="1:1" s="23" customFormat="1" ht="18" customHeight="1" x14ac:dyDescent="0.25">
      <c r="A78" s="25" t="s">
        <v>2069</v>
      </c>
    </row>
    <row r="79" spans="1:1" s="22" customFormat="1" ht="18" customHeight="1" thickBot="1" x14ac:dyDescent="0.3">
      <c r="A79" s="27" t="s">
        <v>2176</v>
      </c>
    </row>
    <row r="80" spans="1:1" s="23" customFormat="1" ht="18" customHeight="1" x14ac:dyDescent="0.25">
      <c r="A80" s="31" t="s">
        <v>2177</v>
      </c>
    </row>
    <row r="81" spans="1:1" s="115" customFormat="1" ht="18" customHeight="1" x14ac:dyDescent="0.25">
      <c r="A81" s="25" t="s">
        <v>2069</v>
      </c>
    </row>
    <row r="82" spans="1:1" s="22" customFormat="1" ht="18" customHeight="1" thickBot="1" x14ac:dyDescent="0.3">
      <c r="A82" s="27" t="s">
        <v>2329</v>
      </c>
    </row>
    <row r="83" spans="1:1" s="23" customFormat="1" ht="18" customHeight="1" x14ac:dyDescent="0.25">
      <c r="A83" s="31" t="s">
        <v>2178</v>
      </c>
    </row>
    <row r="84" spans="1:1" s="23" customFormat="1" ht="18" customHeight="1" x14ac:dyDescent="0.25">
      <c r="A84" s="25" t="s">
        <v>2158</v>
      </c>
    </row>
    <row r="85" spans="1:1" s="22" customFormat="1" ht="18" customHeight="1" thickBot="1" x14ac:dyDescent="0.3">
      <c r="A85" s="27" t="s">
        <v>2335</v>
      </c>
    </row>
    <row r="86" spans="1:1" s="23" customFormat="1" ht="18" customHeight="1" x14ac:dyDescent="0.25">
      <c r="A86" s="31" t="s">
        <v>2160</v>
      </c>
    </row>
    <row r="87" spans="1:1" ht="18" customHeight="1" x14ac:dyDescent="0.25">
      <c r="A87" s="25" t="s">
        <v>2158</v>
      </c>
    </row>
    <row r="88" spans="1:1" s="22" customFormat="1" ht="18" customHeight="1" thickBot="1" x14ac:dyDescent="0.3">
      <c r="A88" s="27" t="s">
        <v>2159</v>
      </c>
    </row>
    <row r="89" spans="1:1" s="23" customFormat="1" ht="18" customHeight="1" x14ac:dyDescent="0.25">
      <c r="A89" s="31" t="s">
        <v>2179</v>
      </c>
    </row>
    <row r="90" spans="1:1" ht="18" customHeight="1" x14ac:dyDescent="0.25">
      <c r="A90" s="25" t="s">
        <v>2158</v>
      </c>
    </row>
    <row r="91" spans="1:1" s="22" customFormat="1" ht="18" customHeight="1" thickBot="1" x14ac:dyDescent="0.3">
      <c r="A91" s="27" t="s">
        <v>2334</v>
      </c>
    </row>
    <row r="92" spans="1:1" s="23" customFormat="1" ht="18" customHeight="1" x14ac:dyDescent="0.25">
      <c r="A92" s="31" t="s">
        <v>2184</v>
      </c>
    </row>
    <row r="93" spans="1:1" ht="18" customHeight="1" x14ac:dyDescent="0.25">
      <c r="A93" s="25" t="s">
        <v>2183</v>
      </c>
    </row>
    <row r="94" spans="1:1" s="22" customFormat="1" ht="18" customHeight="1" thickBot="1" x14ac:dyDescent="0.3">
      <c r="A94" s="27" t="s">
        <v>2330</v>
      </c>
    </row>
    <row r="95" spans="1:1" ht="18" customHeight="1" x14ac:dyDescent="0.25">
      <c r="A95" s="31" t="s">
        <v>2192</v>
      </c>
    </row>
    <row r="96" spans="1:1" ht="18" customHeight="1" x14ac:dyDescent="0.25">
      <c r="A96" s="25" t="s">
        <v>2183</v>
      </c>
    </row>
    <row r="97" spans="1:2" s="22" customFormat="1" ht="18" customHeight="1" thickBot="1" x14ac:dyDescent="0.3">
      <c r="A97" s="27" t="s">
        <v>2331</v>
      </c>
    </row>
    <row r="98" spans="1:2" s="23" customFormat="1" ht="18" customHeight="1" x14ac:dyDescent="0.25">
      <c r="A98" s="31" t="s">
        <v>2193</v>
      </c>
      <c r="B98" s="26"/>
    </row>
    <row r="99" spans="1:2" ht="18" customHeight="1" x14ac:dyDescent="0.25">
      <c r="A99" s="26" t="s">
        <v>2183</v>
      </c>
    </row>
    <row r="100" spans="1:2" ht="18" customHeight="1" x14ac:dyDescent="0.25">
      <c r="A100" s="26" t="s">
        <v>2194</v>
      </c>
    </row>
    <row r="101" spans="1:2" ht="18" customHeight="1" x14ac:dyDescent="0.25">
      <c r="A101" s="26" t="s">
        <v>2195</v>
      </c>
    </row>
    <row r="102" spans="1:2" ht="18" customHeight="1" x14ac:dyDescent="0.25">
      <c r="A102" s="26" t="s">
        <v>2196</v>
      </c>
    </row>
    <row r="103" spans="1:2" ht="18" customHeight="1" x14ac:dyDescent="0.25">
      <c r="A103" s="25" t="s">
        <v>2197</v>
      </c>
    </row>
    <row r="104" spans="1:2" s="22" customFormat="1" ht="18" customHeight="1" thickBot="1" x14ac:dyDescent="0.3">
      <c r="A104" s="27" t="s">
        <v>2199</v>
      </c>
    </row>
    <row r="105" spans="1:2" s="23" customFormat="1" ht="18" customHeight="1" x14ac:dyDescent="0.25">
      <c r="A105" s="31" t="s">
        <v>2203</v>
      </c>
    </row>
    <row r="106" spans="1:2" ht="18" customHeight="1" x14ac:dyDescent="0.25">
      <c r="A106" s="26" t="s">
        <v>2183</v>
      </c>
    </row>
    <row r="107" spans="1:2" s="22" customFormat="1" ht="18" customHeight="1" thickBot="1" x14ac:dyDescent="0.3">
      <c r="A107" s="27" t="s">
        <v>2337</v>
      </c>
    </row>
    <row r="108" spans="1:2" s="23" customFormat="1" ht="18" customHeight="1" x14ac:dyDescent="0.25">
      <c r="A108" s="31" t="s">
        <v>2229</v>
      </c>
    </row>
    <row r="109" spans="1:2" ht="18" customHeight="1" x14ac:dyDescent="0.25">
      <c r="A109" s="26" t="s">
        <v>2183</v>
      </c>
    </row>
    <row r="110" spans="1:2" ht="18" customHeight="1" x14ac:dyDescent="0.25">
      <c r="A110" s="26" t="s">
        <v>2204</v>
      </c>
    </row>
    <row r="111" spans="1:2" ht="18" customHeight="1" x14ac:dyDescent="0.25">
      <c r="A111" s="26" t="s">
        <v>2205</v>
      </c>
    </row>
    <row r="112" spans="1:2" s="22" customFormat="1" ht="18" customHeight="1" thickBot="1" x14ac:dyDescent="0.3">
      <c r="A112" s="27" t="s">
        <v>2206</v>
      </c>
    </row>
    <row r="113" spans="1:1" s="23" customFormat="1" ht="18" customHeight="1" x14ac:dyDescent="0.25">
      <c r="A113" s="31" t="s">
        <v>2239</v>
      </c>
    </row>
    <row r="114" spans="1:1" ht="18" customHeight="1" x14ac:dyDescent="0.25">
      <c r="A114" s="26" t="s">
        <v>2183</v>
      </c>
    </row>
    <row r="115" spans="1:1" ht="18" customHeight="1" x14ac:dyDescent="0.25">
      <c r="A115" s="26" t="s">
        <v>2234</v>
      </c>
    </row>
    <row r="116" spans="1:1" ht="18" customHeight="1" x14ac:dyDescent="0.25">
      <c r="A116" s="26" t="s">
        <v>2235</v>
      </c>
    </row>
    <row r="117" spans="1:1" s="22" customFormat="1" ht="18" customHeight="1" thickBot="1" x14ac:dyDescent="0.3">
      <c r="A117" s="27" t="s">
        <v>2236</v>
      </c>
    </row>
    <row r="118" spans="1:1" s="23" customFormat="1" ht="18" customHeight="1" x14ac:dyDescent="0.25">
      <c r="A118" s="31" t="s">
        <v>2241</v>
      </c>
    </row>
    <row r="119" spans="1:1" ht="18" customHeight="1" x14ac:dyDescent="0.25">
      <c r="A119" s="26" t="s">
        <v>2183</v>
      </c>
    </row>
    <row r="120" spans="1:1" ht="18" customHeight="1" x14ac:dyDescent="0.25">
      <c r="A120" s="26" t="s">
        <v>2242</v>
      </c>
    </row>
    <row r="121" spans="1:1" s="24" customFormat="1" ht="18" customHeight="1" thickBot="1" x14ac:dyDescent="0.3">
      <c r="A121" s="30" t="s">
        <v>2243</v>
      </c>
    </row>
    <row r="122" spans="1:1" s="108" customFormat="1" ht="18" customHeight="1" x14ac:dyDescent="0.25">
      <c r="A122" s="114" t="s">
        <v>2247</v>
      </c>
    </row>
    <row r="123" spans="1:1" ht="18" customHeight="1" x14ac:dyDescent="0.25">
      <c r="A123" s="25" t="s">
        <v>2248</v>
      </c>
    </row>
    <row r="124" spans="1:1" s="22" customFormat="1" ht="18" customHeight="1" thickBot="1" x14ac:dyDescent="0.3">
      <c r="A124" s="27" t="s">
        <v>2249</v>
      </c>
    </row>
    <row r="125" spans="1:1" s="108" customFormat="1" ht="18" customHeight="1" x14ac:dyDescent="0.25">
      <c r="A125" s="114" t="s">
        <v>2250</v>
      </c>
    </row>
    <row r="126" spans="1:1" ht="18" customHeight="1" x14ac:dyDescent="0.25">
      <c r="A126" s="25" t="s">
        <v>2248</v>
      </c>
    </row>
    <row r="127" spans="1:1" s="24" customFormat="1" ht="18" customHeight="1" thickBot="1" x14ac:dyDescent="0.3">
      <c r="A127" s="30" t="s">
        <v>2251</v>
      </c>
    </row>
    <row r="128" spans="1:1" s="108" customFormat="1" ht="18" customHeight="1" x14ac:dyDescent="0.25">
      <c r="A128" s="114" t="s">
        <v>2289</v>
      </c>
    </row>
    <row r="129" spans="1:1" ht="18" customHeight="1" x14ac:dyDescent="0.25">
      <c r="A129" s="25" t="s">
        <v>2290</v>
      </c>
    </row>
    <row r="130" spans="1:1" ht="18" customHeight="1" x14ac:dyDescent="0.25">
      <c r="A130" s="25" t="s">
        <v>2307</v>
      </c>
    </row>
    <row r="131" spans="1:1" s="24" customFormat="1" ht="18" customHeight="1" thickBot="1" x14ac:dyDescent="0.3">
      <c r="A131" s="30" t="s">
        <v>2305</v>
      </c>
    </row>
    <row r="132" spans="1:1" s="108" customFormat="1" ht="18" customHeight="1" x14ac:dyDescent="0.25">
      <c r="A132" s="114" t="s">
        <v>2297</v>
      </c>
    </row>
    <row r="133" spans="1:1" ht="18" customHeight="1" x14ac:dyDescent="0.25">
      <c r="A133" s="25" t="s">
        <v>2290</v>
      </c>
    </row>
    <row r="134" spans="1:1" s="22" customFormat="1" ht="18" customHeight="1" thickBot="1" x14ac:dyDescent="0.3">
      <c r="A134" s="27" t="s">
        <v>2308</v>
      </c>
    </row>
    <row r="135" spans="1:1" s="23" customFormat="1" ht="18" customHeight="1" x14ac:dyDescent="0.25">
      <c r="A135" s="31" t="s">
        <v>2303</v>
      </c>
    </row>
    <row r="136" spans="1:1" ht="18" customHeight="1" x14ac:dyDescent="0.25">
      <c r="A136" s="25" t="s">
        <v>2304</v>
      </c>
    </row>
    <row r="137" spans="1:1" ht="18" customHeight="1" x14ac:dyDescent="0.25">
      <c r="A137" s="25" t="s">
        <v>2306</v>
      </c>
    </row>
    <row r="138" spans="1:1" s="22" customFormat="1" ht="18" customHeight="1" thickBot="1" x14ac:dyDescent="0.3">
      <c r="A138" s="27" t="s">
        <v>2332</v>
      </c>
    </row>
    <row r="139" spans="1:1" s="23" customFormat="1" ht="18" customHeight="1" x14ac:dyDescent="0.25">
      <c r="A139" s="31" t="s">
        <v>2309</v>
      </c>
    </row>
    <row r="140" spans="1:1" ht="18" customHeight="1" x14ac:dyDescent="0.25">
      <c r="A140" s="25" t="s">
        <v>2304</v>
      </c>
    </row>
    <row r="141" spans="1:1" s="22" customFormat="1" ht="18" customHeight="1" thickBot="1" x14ac:dyDescent="0.3">
      <c r="A141" s="27" t="s">
        <v>2310</v>
      </c>
    </row>
    <row r="142" spans="1:1" s="23" customFormat="1" ht="18" customHeight="1" x14ac:dyDescent="0.25">
      <c r="A142" s="31" t="s">
        <v>2311</v>
      </c>
    </row>
    <row r="143" spans="1:1" ht="18" customHeight="1" x14ac:dyDescent="0.25">
      <c r="A143" s="25" t="s">
        <v>2312</v>
      </c>
    </row>
    <row r="144" spans="1:1" s="22" customFormat="1" ht="18" customHeight="1" thickBot="1" x14ac:dyDescent="0.3">
      <c r="A144" s="27" t="s">
        <v>2313</v>
      </c>
    </row>
    <row r="145" spans="1:1" s="23" customFormat="1" ht="18" customHeight="1" x14ac:dyDescent="0.25">
      <c r="A145" s="31" t="s">
        <v>2323</v>
      </c>
    </row>
    <row r="146" spans="1:1" ht="18" customHeight="1" x14ac:dyDescent="0.25">
      <c r="A146" s="25" t="s">
        <v>2312</v>
      </c>
    </row>
    <row r="147" spans="1:1" s="22" customFormat="1" ht="18" customHeight="1" thickBot="1" x14ac:dyDescent="0.3">
      <c r="A147" s="27" t="s">
        <v>2324</v>
      </c>
    </row>
    <row r="148" spans="1:1" s="23" customFormat="1" ht="18" customHeight="1" x14ac:dyDescent="0.25">
      <c r="A148" s="31" t="s">
        <v>2325</v>
      </c>
    </row>
    <row r="149" spans="1:1" ht="18" customHeight="1" x14ac:dyDescent="0.25">
      <c r="A149" s="25" t="s">
        <v>2312</v>
      </c>
    </row>
    <row r="150" spans="1:1" s="22" customFormat="1" ht="18" customHeight="1" thickBot="1" x14ac:dyDescent="0.3">
      <c r="A150" s="27" t="s">
        <v>2333</v>
      </c>
    </row>
    <row r="151" spans="1:1" s="23" customFormat="1" ht="18" customHeight="1" x14ac:dyDescent="0.25">
      <c r="A151" s="31" t="s">
        <v>2353</v>
      </c>
    </row>
    <row r="152" spans="1:1" ht="18" customHeight="1" x14ac:dyDescent="0.25">
      <c r="A152" s="25" t="s">
        <v>2354</v>
      </c>
    </row>
    <row r="153" spans="1:1" ht="18" customHeight="1" x14ac:dyDescent="0.25">
      <c r="A153" s="25" t="s">
        <v>2355</v>
      </c>
    </row>
    <row r="154" spans="1:1" s="22" customFormat="1" ht="18" customHeight="1" thickBot="1" x14ac:dyDescent="0.3">
      <c r="A154" s="27" t="s">
        <v>2356</v>
      </c>
    </row>
    <row r="155" spans="1:1" ht="18" customHeight="1" x14ac:dyDescent="0.25">
      <c r="A155" s="31" t="s">
        <v>2364</v>
      </c>
    </row>
    <row r="156" spans="1:1" ht="18" customHeight="1" x14ac:dyDescent="0.25">
      <c r="A156" s="25" t="s">
        <v>2365</v>
      </c>
    </row>
    <row r="157" spans="1:1" ht="18" customHeight="1" x14ac:dyDescent="0.25">
      <c r="A157" s="25" t="s">
        <v>2366</v>
      </c>
    </row>
    <row r="158" spans="1:1" s="22" customFormat="1" ht="18" customHeight="1" thickBot="1" x14ac:dyDescent="0.3">
      <c r="A158" s="27" t="s">
        <v>2367</v>
      </c>
    </row>
    <row r="159" spans="1:1" s="23" customFormat="1" ht="18" customHeight="1" x14ac:dyDescent="0.25">
      <c r="A159" s="31" t="s">
        <v>2396</v>
      </c>
    </row>
    <row r="160" spans="1:1" ht="18" customHeight="1" x14ac:dyDescent="0.25">
      <c r="A160" s="25" t="s">
        <v>2397</v>
      </c>
    </row>
    <row r="161" spans="1:1" s="22" customFormat="1" ht="18" customHeight="1" thickBot="1" x14ac:dyDescent="0.3">
      <c r="A161" s="27" t="s">
        <v>2398</v>
      </c>
    </row>
    <row r="162" spans="1:1" s="23" customFormat="1" ht="18" customHeight="1" x14ac:dyDescent="0.25">
      <c r="A162" s="31" t="s">
        <v>2401</v>
      </c>
    </row>
    <row r="163" spans="1:1" ht="18" customHeight="1" x14ac:dyDescent="0.25">
      <c r="A163" s="25" t="s">
        <v>2397</v>
      </c>
    </row>
    <row r="164" spans="1:1" ht="18" customHeight="1" x14ac:dyDescent="0.25">
      <c r="A164" s="25" t="s">
        <v>2402</v>
      </c>
    </row>
    <row r="165" spans="1:1" s="22" customFormat="1" ht="18" customHeight="1" thickBot="1" x14ac:dyDescent="0.3">
      <c r="A165" s="27" t="s">
        <v>2403</v>
      </c>
    </row>
    <row r="166" spans="1:1" s="23" customFormat="1" ht="18" customHeight="1" x14ac:dyDescent="0.25">
      <c r="A166" s="31" t="s">
        <v>2423</v>
      </c>
    </row>
    <row r="167" spans="1:1" ht="18" customHeight="1" x14ac:dyDescent="0.25">
      <c r="A167" s="25" t="s">
        <v>2424</v>
      </c>
    </row>
    <row r="168" spans="1:1" ht="18" customHeight="1" x14ac:dyDescent="0.25">
      <c r="A168" s="25" t="s">
        <v>2427</v>
      </c>
    </row>
    <row r="169" spans="1:1" ht="18" customHeight="1" x14ac:dyDescent="0.25">
      <c r="A169" s="25" t="s">
        <v>2426</v>
      </c>
    </row>
    <row r="170" spans="1:1" ht="18" customHeight="1" x14ac:dyDescent="0.25">
      <c r="A170" s="26" t="s">
        <v>2428</v>
      </c>
    </row>
    <row r="171" spans="1:1" ht="18" customHeight="1" x14ac:dyDescent="0.25">
      <c r="A171" s="26" t="s">
        <v>2425</v>
      </c>
    </row>
    <row r="172" spans="1:1" ht="18" customHeight="1" x14ac:dyDescent="0.25">
      <c r="A172" s="26" t="s">
        <v>2429</v>
      </c>
    </row>
    <row r="173" spans="1:1" ht="18" customHeight="1" x14ac:dyDescent="0.25">
      <c r="A173" s="26" t="s">
        <v>2431</v>
      </c>
    </row>
    <row r="174" spans="1:1" s="22" customFormat="1" ht="18" customHeight="1" thickBot="1" x14ac:dyDescent="0.3">
      <c r="A174" s="22" t="s">
        <v>2432</v>
      </c>
    </row>
    <row r="175" spans="1:1" s="23" customFormat="1" ht="18" customHeight="1" x14ac:dyDescent="0.25">
      <c r="A175" s="31" t="s">
        <v>2433</v>
      </c>
    </row>
    <row r="176" spans="1:1" ht="18" customHeight="1" x14ac:dyDescent="0.25">
      <c r="A176" s="25" t="s">
        <v>2424</v>
      </c>
    </row>
    <row r="177" spans="1:1" s="22" customFormat="1" ht="18" customHeight="1" thickBot="1" x14ac:dyDescent="0.3">
      <c r="A177" s="27" t="s">
        <v>2434</v>
      </c>
    </row>
    <row r="178" spans="1:1" s="23" customFormat="1" ht="18" customHeight="1" x14ac:dyDescent="0.25">
      <c r="A178" s="31" t="s">
        <v>2435</v>
      </c>
    </row>
    <row r="179" spans="1:1" ht="18" customHeight="1" x14ac:dyDescent="0.25">
      <c r="A179" s="25" t="s">
        <v>2424</v>
      </c>
    </row>
    <row r="180" spans="1:1" s="24" customFormat="1" ht="18" customHeight="1" thickBot="1" x14ac:dyDescent="0.3">
      <c r="A180" s="30" t="s">
        <v>2436</v>
      </c>
    </row>
    <row r="181" spans="1:1" s="108" customFormat="1" ht="18" customHeight="1" x14ac:dyDescent="0.25">
      <c r="A181" s="114" t="s">
        <v>2483</v>
      </c>
    </row>
    <row r="182" spans="1:1" ht="18" customHeight="1" x14ac:dyDescent="0.25">
      <c r="A182" s="25" t="s">
        <v>2484</v>
      </c>
    </row>
    <row r="183" spans="1:1" ht="18" customHeight="1" x14ac:dyDescent="0.25">
      <c r="A183" s="25" t="s">
        <v>2485</v>
      </c>
    </row>
    <row r="184" spans="1:1" ht="18" customHeight="1" thickBot="1" x14ac:dyDescent="0.3">
      <c r="A184" s="25" t="s">
        <v>2486</v>
      </c>
    </row>
    <row r="185" spans="1:1" s="108" customFormat="1" ht="18" customHeight="1" x14ac:dyDescent="0.25">
      <c r="A185" s="114" t="s">
        <v>2488</v>
      </c>
    </row>
    <row r="186" spans="1:1" ht="18" customHeight="1" x14ac:dyDescent="0.25">
      <c r="A186" s="25" t="s">
        <v>2484</v>
      </c>
    </row>
    <row r="187" spans="1:1" ht="18" customHeight="1" x14ac:dyDescent="0.25">
      <c r="A187" s="25" t="s">
        <v>2746</v>
      </c>
    </row>
    <row r="188" spans="1:1" ht="18" customHeight="1" x14ac:dyDescent="0.25">
      <c r="A188" s="25" t="s">
        <v>2747</v>
      </c>
    </row>
    <row r="191" spans="1:1" ht="18" customHeight="1" x14ac:dyDescent="0.25">
      <c r="A191" s="25" t="s">
        <v>2240</v>
      </c>
    </row>
    <row r="192" spans="1:1" ht="18" customHeight="1" x14ac:dyDescent="0.25">
      <c r="A192" s="25" t="s">
        <v>2422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C59"/>
  <sheetViews>
    <sheetView showGridLines="0" workbookViewId="0">
      <selection activeCell="D22" sqref="D22"/>
    </sheetView>
  </sheetViews>
  <sheetFormatPr defaultColWidth="10.77734375" defaultRowHeight="15" customHeight="1" x14ac:dyDescent="0.25"/>
  <cols>
    <col min="1" max="2" width="10.77734375" style="19"/>
    <col min="3" max="16384" width="10.77734375" style="20"/>
  </cols>
  <sheetData>
    <row r="1" spans="1:3" s="18" customFormat="1" ht="15" customHeight="1" x14ac:dyDescent="0.25">
      <c r="A1" s="21" t="s">
        <v>98</v>
      </c>
      <c r="B1" s="21" t="s">
        <v>99</v>
      </c>
      <c r="C1" s="18" t="s">
        <v>100</v>
      </c>
    </row>
    <row r="2" spans="1:3" ht="15" customHeight="1" x14ac:dyDescent="0.25">
      <c r="A2" s="19" t="s">
        <v>2595</v>
      </c>
      <c r="B2" s="19" t="s">
        <v>2595</v>
      </c>
      <c r="C2" s="20" t="s">
        <v>2603</v>
      </c>
    </row>
    <row r="3" spans="1:3" ht="15" customHeight="1" x14ac:dyDescent="0.25">
      <c r="A3" s="19" t="s">
        <v>2602</v>
      </c>
      <c r="B3" s="19" t="s">
        <v>2602</v>
      </c>
      <c r="C3" s="20" t="s">
        <v>2604</v>
      </c>
    </row>
    <row r="4" spans="1:3" ht="15" customHeight="1" x14ac:dyDescent="0.25">
      <c r="A4" s="19" t="s">
        <v>2602</v>
      </c>
      <c r="B4" s="19" t="s">
        <v>2575</v>
      </c>
      <c r="C4" s="20" t="s">
        <v>2611</v>
      </c>
    </row>
    <row r="5" spans="1:3" ht="15" customHeight="1" x14ac:dyDescent="0.25">
      <c r="A5" s="19" t="s">
        <v>2602</v>
      </c>
      <c r="B5" s="19" t="s">
        <v>2575</v>
      </c>
      <c r="C5" s="20" t="s">
        <v>2613</v>
      </c>
    </row>
    <row r="6" spans="1:3" ht="15" customHeight="1" x14ac:dyDescent="0.25">
      <c r="A6" s="19" t="s">
        <v>2616</v>
      </c>
      <c r="B6" s="19" t="s">
        <v>2616</v>
      </c>
      <c r="C6" s="20" t="s">
        <v>2617</v>
      </c>
    </row>
    <row r="7" spans="1:3" ht="15" customHeight="1" x14ac:dyDescent="0.25">
      <c r="A7" s="19" t="s">
        <v>2616</v>
      </c>
      <c r="B7" s="19" t="s">
        <v>2542</v>
      </c>
      <c r="C7" s="20" t="s">
        <v>2618</v>
      </c>
    </row>
    <row r="8" spans="1:3" ht="15" customHeight="1" x14ac:dyDescent="0.25">
      <c r="A8" s="19" t="s">
        <v>2616</v>
      </c>
      <c r="B8" s="19" t="s">
        <v>2542</v>
      </c>
      <c r="C8" s="20" t="s">
        <v>2620</v>
      </c>
    </row>
    <row r="9" spans="1:3" ht="15" customHeight="1" x14ac:dyDescent="0.25">
      <c r="A9" s="19" t="s">
        <v>2621</v>
      </c>
      <c r="B9" s="19" t="s">
        <v>2621</v>
      </c>
      <c r="C9" s="20" t="s">
        <v>2622</v>
      </c>
    </row>
    <row r="10" spans="1:3" ht="15" customHeight="1" x14ac:dyDescent="0.25">
      <c r="A10" s="19" t="s">
        <v>2629</v>
      </c>
      <c r="B10" s="19" t="s">
        <v>2629</v>
      </c>
      <c r="C10" s="20" t="s">
        <v>2630</v>
      </c>
    </row>
    <row r="11" spans="1:3" ht="15" customHeight="1" x14ac:dyDescent="0.25">
      <c r="A11" s="19" t="s">
        <v>2629</v>
      </c>
      <c r="B11" s="19" t="s">
        <v>2531</v>
      </c>
      <c r="C11" s="20" t="s">
        <v>2634</v>
      </c>
    </row>
    <row r="12" spans="1:3" ht="15" customHeight="1" x14ac:dyDescent="0.25">
      <c r="A12" s="19" t="s">
        <v>2629</v>
      </c>
      <c r="B12" s="19" t="s">
        <v>2531</v>
      </c>
      <c r="C12" s="20" t="s">
        <v>2636</v>
      </c>
    </row>
    <row r="13" spans="1:3" ht="15" customHeight="1" x14ac:dyDescent="0.25">
      <c r="A13" s="19" t="s">
        <v>2629</v>
      </c>
      <c r="B13" s="19" t="s">
        <v>2531</v>
      </c>
      <c r="C13" s="20" t="s">
        <v>2638</v>
      </c>
    </row>
    <row r="14" spans="1:3" ht="15" customHeight="1" x14ac:dyDescent="0.25">
      <c r="A14" s="19" t="s">
        <v>2629</v>
      </c>
      <c r="B14" s="19" t="s">
        <v>2531</v>
      </c>
      <c r="C14" s="20" t="s">
        <v>2641</v>
      </c>
    </row>
    <row r="15" spans="1:3" ht="15" customHeight="1" x14ac:dyDescent="0.25">
      <c r="A15" s="19" t="s">
        <v>2644</v>
      </c>
      <c r="B15" s="19" t="s">
        <v>2644</v>
      </c>
      <c r="C15" s="20" t="s">
        <v>2645</v>
      </c>
    </row>
    <row r="16" spans="1:3" ht="15" customHeight="1" x14ac:dyDescent="0.25">
      <c r="A16" s="19" t="s">
        <v>2644</v>
      </c>
      <c r="B16" s="19" t="s">
        <v>2587</v>
      </c>
      <c r="C16" s="20" t="s">
        <v>2651</v>
      </c>
    </row>
    <row r="17" spans="1:3" ht="15" customHeight="1" x14ac:dyDescent="0.25">
      <c r="A17" s="19" t="s">
        <v>2644</v>
      </c>
      <c r="B17" s="19" t="s">
        <v>2587</v>
      </c>
      <c r="C17" s="20" t="s">
        <v>2653</v>
      </c>
    </row>
    <row r="18" spans="1:3" ht="15" customHeight="1" x14ac:dyDescent="0.25">
      <c r="A18" s="19" t="s">
        <v>2644</v>
      </c>
      <c r="B18" s="19" t="s">
        <v>2587</v>
      </c>
      <c r="C18" s="20" t="s">
        <v>2655</v>
      </c>
    </row>
    <row r="19" spans="1:3" ht="15" customHeight="1" x14ac:dyDescent="0.25">
      <c r="A19" s="19" t="s">
        <v>2644</v>
      </c>
      <c r="B19" s="19" t="s">
        <v>2587</v>
      </c>
      <c r="C19" s="20" t="s">
        <v>2656</v>
      </c>
    </row>
    <row r="20" spans="1:3" ht="15" customHeight="1" x14ac:dyDescent="0.25">
      <c r="A20" s="19" t="s">
        <v>2657</v>
      </c>
      <c r="B20" s="19" t="s">
        <v>2657</v>
      </c>
      <c r="C20" s="20" t="s">
        <v>2658</v>
      </c>
    </row>
    <row r="21" spans="1:3" ht="15" customHeight="1" x14ac:dyDescent="0.25">
      <c r="A21" s="19" t="s">
        <v>2657</v>
      </c>
      <c r="B21" s="19" t="s">
        <v>2531</v>
      </c>
      <c r="C21" s="20" t="s">
        <v>2664</v>
      </c>
    </row>
    <row r="22" spans="1:3" ht="15" customHeight="1" x14ac:dyDescent="0.25">
      <c r="A22" s="19" t="s">
        <v>2657</v>
      </c>
      <c r="B22" s="19" t="s">
        <v>2587</v>
      </c>
      <c r="C22" s="20" t="s">
        <v>2665</v>
      </c>
    </row>
    <row r="23" spans="1:3" ht="15" customHeight="1" x14ac:dyDescent="0.25">
      <c r="A23" s="19" t="s">
        <v>2668</v>
      </c>
      <c r="B23" s="19" t="s">
        <v>2668</v>
      </c>
      <c r="C23" s="20" t="s">
        <v>2669</v>
      </c>
    </row>
    <row r="24" spans="1:3" ht="15" customHeight="1" x14ac:dyDescent="0.25">
      <c r="A24" s="19" t="s">
        <v>2668</v>
      </c>
      <c r="B24" s="19" t="s">
        <v>2587</v>
      </c>
      <c r="C24" s="20" t="s">
        <v>2670</v>
      </c>
    </row>
    <row r="25" spans="1:3" ht="15" customHeight="1" x14ac:dyDescent="0.25">
      <c r="A25" s="19" t="s">
        <v>2668</v>
      </c>
      <c r="B25" s="19" t="s">
        <v>2531</v>
      </c>
      <c r="C25" s="20" t="s">
        <v>2670</v>
      </c>
    </row>
    <row r="26" spans="1:3" ht="15" customHeight="1" x14ac:dyDescent="0.25">
      <c r="A26" s="19" t="s">
        <v>2668</v>
      </c>
      <c r="B26" s="19" t="s">
        <v>2569</v>
      </c>
      <c r="C26" s="20" t="s">
        <v>2611</v>
      </c>
    </row>
    <row r="27" spans="1:3" ht="15" customHeight="1" x14ac:dyDescent="0.25">
      <c r="A27" s="19" t="s">
        <v>2668</v>
      </c>
      <c r="B27" s="19" t="s">
        <v>2569</v>
      </c>
      <c r="C27" s="20" t="s">
        <v>2673</v>
      </c>
    </row>
    <row r="28" spans="1:3" ht="15" customHeight="1" x14ac:dyDescent="0.25">
      <c r="A28" s="19" t="s">
        <v>2674</v>
      </c>
      <c r="B28" s="19" t="s">
        <v>2674</v>
      </c>
      <c r="C28" s="20" t="s">
        <v>2675</v>
      </c>
    </row>
    <row r="29" spans="1:3" ht="15" customHeight="1" x14ac:dyDescent="0.25">
      <c r="A29" s="19" t="s">
        <v>2676</v>
      </c>
      <c r="B29" s="19" t="s">
        <v>2676</v>
      </c>
      <c r="C29" s="20" t="s">
        <v>2677</v>
      </c>
    </row>
    <row r="30" spans="1:3" ht="15" customHeight="1" x14ac:dyDescent="0.25">
      <c r="A30" s="19" t="s">
        <v>2676</v>
      </c>
      <c r="B30" s="19" t="s">
        <v>2569</v>
      </c>
      <c r="C30" s="20" t="s">
        <v>2680</v>
      </c>
    </row>
    <row r="31" spans="1:3" ht="15" customHeight="1" x14ac:dyDescent="0.25">
      <c r="A31" s="19" t="s">
        <v>2682</v>
      </c>
      <c r="B31" s="19" t="s">
        <v>2682</v>
      </c>
      <c r="C31" s="20" t="s">
        <v>2683</v>
      </c>
    </row>
    <row r="32" spans="1:3" ht="15" customHeight="1" x14ac:dyDescent="0.25">
      <c r="A32" s="19" t="s">
        <v>2682</v>
      </c>
      <c r="B32" s="19" t="s">
        <v>2532</v>
      </c>
      <c r="C32" s="20" t="s">
        <v>2685</v>
      </c>
    </row>
    <row r="33" spans="1:3" ht="15" customHeight="1" x14ac:dyDescent="0.25">
      <c r="A33" s="19" t="s">
        <v>2682</v>
      </c>
      <c r="B33" s="19" t="s">
        <v>2532</v>
      </c>
      <c r="C33" s="20" t="s">
        <v>2686</v>
      </c>
    </row>
    <row r="34" spans="1:3" ht="15" customHeight="1" x14ac:dyDescent="0.25">
      <c r="A34" s="19" t="s">
        <v>2682</v>
      </c>
      <c r="B34" s="19" t="s">
        <v>2532</v>
      </c>
      <c r="C34" s="20" t="s">
        <v>2688</v>
      </c>
    </row>
    <row r="35" spans="1:3" ht="15" customHeight="1" x14ac:dyDescent="0.25">
      <c r="A35" s="19" t="s">
        <v>2682</v>
      </c>
      <c r="B35" s="19" t="s">
        <v>2532</v>
      </c>
      <c r="C35" s="20" t="s">
        <v>2693</v>
      </c>
    </row>
    <row r="36" spans="1:3" ht="15" customHeight="1" x14ac:dyDescent="0.25">
      <c r="A36" s="19" t="s">
        <v>2682</v>
      </c>
      <c r="B36" s="19" t="s">
        <v>2538</v>
      </c>
      <c r="C36" s="20" t="s">
        <v>2618</v>
      </c>
    </row>
    <row r="37" spans="1:3" ht="15" customHeight="1" x14ac:dyDescent="0.25">
      <c r="A37" s="19" t="s">
        <v>2682</v>
      </c>
      <c r="B37" s="19" t="s">
        <v>2538</v>
      </c>
      <c r="C37" s="20" t="s">
        <v>2695</v>
      </c>
    </row>
    <row r="38" spans="1:3" ht="15" customHeight="1" x14ac:dyDescent="0.25">
      <c r="A38" s="19" t="s">
        <v>2682</v>
      </c>
      <c r="B38" s="19" t="s">
        <v>2692</v>
      </c>
      <c r="C38" s="20" t="s">
        <v>2697</v>
      </c>
    </row>
    <row r="39" spans="1:3" ht="15" customHeight="1" x14ac:dyDescent="0.25">
      <c r="A39" s="19" t="s">
        <v>2682</v>
      </c>
      <c r="B39" s="19" t="s">
        <v>2692</v>
      </c>
      <c r="C39" s="20" t="s">
        <v>2702</v>
      </c>
    </row>
    <row r="40" spans="1:3" ht="15" customHeight="1" x14ac:dyDescent="0.25">
      <c r="A40" s="19" t="s">
        <v>2703</v>
      </c>
      <c r="B40" s="19" t="s">
        <v>2703</v>
      </c>
      <c r="C40" s="20" t="s">
        <v>2704</v>
      </c>
    </row>
    <row r="41" spans="1:3" ht="15" customHeight="1" x14ac:dyDescent="0.25">
      <c r="A41" s="19" t="s">
        <v>2705</v>
      </c>
      <c r="B41" s="19" t="s">
        <v>2699</v>
      </c>
      <c r="C41" s="20" t="s">
        <v>2707</v>
      </c>
    </row>
    <row r="42" spans="1:3" ht="15" customHeight="1" x14ac:dyDescent="0.25">
      <c r="A42" s="19" t="s">
        <v>2705</v>
      </c>
      <c r="B42" s="19" t="s">
        <v>2699</v>
      </c>
      <c r="C42" s="20" t="s">
        <v>2709</v>
      </c>
    </row>
    <row r="43" spans="1:3" ht="15" customHeight="1" x14ac:dyDescent="0.25">
      <c r="A43" s="19" t="s">
        <v>2705</v>
      </c>
      <c r="B43" s="19" t="s">
        <v>2705</v>
      </c>
      <c r="C43" s="20" t="s">
        <v>2711</v>
      </c>
    </row>
    <row r="44" spans="1:3" ht="15" customHeight="1" x14ac:dyDescent="0.25">
      <c r="A44" s="19" t="s">
        <v>2705</v>
      </c>
      <c r="B44" s="19" t="s">
        <v>2708</v>
      </c>
      <c r="C44" s="20" t="s">
        <v>2697</v>
      </c>
    </row>
    <row r="45" spans="1:3" ht="15" customHeight="1" x14ac:dyDescent="0.25">
      <c r="A45" s="19" t="s">
        <v>2705</v>
      </c>
      <c r="B45" s="19" t="s">
        <v>2708</v>
      </c>
      <c r="C45" s="20" t="s">
        <v>2712</v>
      </c>
    </row>
    <row r="46" spans="1:3" ht="15" customHeight="1" x14ac:dyDescent="0.25">
      <c r="A46" s="19" t="s">
        <v>2713</v>
      </c>
      <c r="B46" s="19" t="s">
        <v>2713</v>
      </c>
      <c r="C46" s="20" t="s">
        <v>2714</v>
      </c>
    </row>
    <row r="47" spans="1:3" ht="15" customHeight="1" x14ac:dyDescent="0.25">
      <c r="A47" s="19" t="s">
        <v>2713</v>
      </c>
      <c r="B47" s="19" t="s">
        <v>2588</v>
      </c>
      <c r="C47" s="20" t="s">
        <v>2716</v>
      </c>
    </row>
    <row r="48" spans="1:3" ht="15" customHeight="1" x14ac:dyDescent="0.25">
      <c r="A48" s="19" t="s">
        <v>2713</v>
      </c>
      <c r="B48" s="19" t="s">
        <v>2588</v>
      </c>
      <c r="C48" s="20" t="s">
        <v>2718</v>
      </c>
    </row>
    <row r="49" spans="1:3" ht="15" customHeight="1" x14ac:dyDescent="0.25">
      <c r="A49" s="19" t="s">
        <v>2713</v>
      </c>
      <c r="B49" s="19" t="s">
        <v>2588</v>
      </c>
      <c r="C49" s="20" t="s">
        <v>2720</v>
      </c>
    </row>
    <row r="50" spans="1:3" ht="15" customHeight="1" x14ac:dyDescent="0.25">
      <c r="A50" s="19" t="s">
        <v>2713</v>
      </c>
      <c r="B50" s="19" t="s">
        <v>2588</v>
      </c>
      <c r="C50" s="20" t="s">
        <v>2656</v>
      </c>
    </row>
    <row r="51" spans="1:3" ht="15" customHeight="1" x14ac:dyDescent="0.25">
      <c r="A51" s="19" t="s">
        <v>2722</v>
      </c>
      <c r="B51" s="19" t="s">
        <v>2722</v>
      </c>
      <c r="C51" s="20" t="s">
        <v>2723</v>
      </c>
    </row>
    <row r="52" spans="1:3" ht="15" customHeight="1" x14ac:dyDescent="0.25">
      <c r="A52" s="19" t="s">
        <v>2724</v>
      </c>
      <c r="B52" s="19" t="s">
        <v>2724</v>
      </c>
      <c r="C52" s="20" t="s">
        <v>2725</v>
      </c>
    </row>
    <row r="53" spans="1:3" ht="15" customHeight="1" x14ac:dyDescent="0.25">
      <c r="A53" s="19" t="s">
        <v>2724</v>
      </c>
      <c r="B53" s="19" t="s">
        <v>2588</v>
      </c>
      <c r="C53" s="20" t="s">
        <v>2670</v>
      </c>
    </row>
    <row r="54" spans="1:3" ht="15" customHeight="1" x14ac:dyDescent="0.25">
      <c r="A54" s="19" t="s">
        <v>2732</v>
      </c>
      <c r="B54" s="19" t="s">
        <v>2732</v>
      </c>
      <c r="C54" s="20" t="s">
        <v>2733</v>
      </c>
    </row>
    <row r="55" spans="1:3" ht="15" customHeight="1" x14ac:dyDescent="0.25">
      <c r="A55" s="19" t="s">
        <v>2735</v>
      </c>
      <c r="B55" s="19" t="s">
        <v>2735</v>
      </c>
      <c r="C55" s="20" t="s">
        <v>2736</v>
      </c>
    </row>
    <row r="56" spans="1:3" ht="15" customHeight="1" x14ac:dyDescent="0.25">
      <c r="A56" s="19" t="s">
        <v>2735</v>
      </c>
      <c r="B56" s="19" t="s">
        <v>2592</v>
      </c>
      <c r="C56" s="20" t="s">
        <v>2739</v>
      </c>
    </row>
    <row r="57" spans="1:3" ht="15" customHeight="1" x14ac:dyDescent="0.25">
      <c r="A57" s="19" t="s">
        <v>2735</v>
      </c>
      <c r="B57" s="19" t="s">
        <v>2592</v>
      </c>
      <c r="C57" s="20" t="s">
        <v>2741</v>
      </c>
    </row>
    <row r="58" spans="1:3" ht="15" customHeight="1" x14ac:dyDescent="0.25">
      <c r="A58" s="19" t="s">
        <v>2735</v>
      </c>
      <c r="B58" s="19" t="s">
        <v>2592</v>
      </c>
      <c r="C58" s="20" t="s">
        <v>2742</v>
      </c>
    </row>
    <row r="59" spans="1:3" ht="15" customHeight="1" x14ac:dyDescent="0.25">
      <c r="A59" s="19" t="s">
        <v>2735</v>
      </c>
      <c r="B59" s="19" t="s">
        <v>2592</v>
      </c>
      <c r="C59" s="20" t="s">
        <v>2743</v>
      </c>
    </row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16"/>
  <sheetViews>
    <sheetView showGridLines="0" zoomScale="70" zoomScaleNormal="70" workbookViewId="0">
      <selection activeCell="K2" sqref="A1:AA20"/>
    </sheetView>
  </sheetViews>
  <sheetFormatPr defaultColWidth="5.77734375" defaultRowHeight="24" customHeight="1" x14ac:dyDescent="0.25"/>
  <cols>
    <col min="2" max="2" width="30.77734375" customWidth="1"/>
    <col min="3" max="3" width="10.109375" customWidth="1"/>
    <col min="6" max="6" width="30.77734375" customWidth="1"/>
    <col min="7" max="7" width="10.109375" customWidth="1"/>
    <col min="10" max="10" width="30.77734375" customWidth="1"/>
    <col min="11" max="11" width="10.109375" customWidth="1"/>
    <col min="14" max="14" width="30.77734375" customWidth="1"/>
    <col min="15" max="15" width="10.109375" customWidth="1"/>
    <col min="18" max="18" width="30.77734375" customWidth="1"/>
    <col min="19" max="19" width="10.109375" customWidth="1"/>
    <col min="22" max="22" width="30.77734375" customWidth="1"/>
    <col min="23" max="23" width="10.109375" customWidth="1"/>
    <col min="26" max="26" width="30.77734375" customWidth="1"/>
    <col min="27" max="27" width="10.109375" customWidth="1"/>
    <col min="30" max="30" width="30.77734375" customWidth="1"/>
    <col min="31" max="31" width="10.109375" customWidth="1"/>
    <col min="34" max="34" width="30.77734375" customWidth="1"/>
    <col min="35" max="35" width="10.109375" customWidth="1"/>
    <col min="38" max="38" width="30.77734375" customWidth="1"/>
    <col min="39" max="39" width="10.109375" customWidth="1"/>
    <col min="42" max="42" width="30.77734375" customWidth="1"/>
    <col min="43" max="43" width="10.109375" customWidth="1"/>
    <col min="46" max="46" width="30.77734375" customWidth="1"/>
    <col min="47" max="47" width="10.109375" customWidth="1"/>
    <col min="50" max="50" width="30.77734375" customWidth="1"/>
    <col min="51" max="51" width="10.109375" customWidth="1"/>
    <col min="54" max="54" width="30.77734375" customWidth="1"/>
    <col min="55" max="55" width="10.109375" customWidth="1"/>
    <col min="58" max="58" width="30.77734375" customWidth="1"/>
    <col min="59" max="59" width="10.109375" customWidth="1"/>
    <col min="62" max="62" width="30.77734375" customWidth="1"/>
    <col min="63" max="63" width="10.109375" customWidth="1"/>
    <col min="66" max="66" width="30.77734375" customWidth="1"/>
    <col min="67" max="67" width="10.109375" customWidth="1"/>
    <col min="70" max="70" width="30.77734375" customWidth="1"/>
    <col min="71" max="71" width="10.109375" customWidth="1"/>
    <col min="74" max="74" width="30.77734375" customWidth="1"/>
    <col min="75" max="75" width="10.109375" customWidth="1"/>
    <col min="78" max="78" width="30.77734375" customWidth="1"/>
    <col min="79" max="79" width="10.109375" customWidth="1"/>
  </cols>
  <sheetData>
    <row r="1" spans="1:7" ht="24" customHeight="1" x14ac:dyDescent="0.25">
      <c r="A1" s="104" t="s">
        <v>2481</v>
      </c>
      <c r="B1" s="104"/>
      <c r="C1" s="104" t="s">
        <v>101</v>
      </c>
      <c r="D1" s="104"/>
      <c r="E1" s="104" t="s">
        <v>2482</v>
      </c>
      <c r="F1" s="104"/>
      <c r="G1" s="104" t="s">
        <v>223</v>
      </c>
    </row>
    <row r="2" spans="1:7" ht="24" customHeight="1" x14ac:dyDescent="0.25">
      <c r="A2" s="104" t="s">
        <v>12</v>
      </c>
      <c r="B2" s="104" t="s">
        <v>9</v>
      </c>
      <c r="C2" s="104" t="s">
        <v>10</v>
      </c>
      <c r="D2" s="104"/>
      <c r="E2" s="104" t="s">
        <v>12</v>
      </c>
      <c r="F2" s="104" t="s">
        <v>9</v>
      </c>
      <c r="G2" s="104" t="s">
        <v>10</v>
      </c>
    </row>
    <row r="3" spans="1:7" ht="24" customHeight="1" x14ac:dyDescent="0.25">
      <c r="A3" s="104">
        <v>1</v>
      </c>
      <c r="B3" s="104" t="s">
        <v>2108</v>
      </c>
      <c r="C3" s="104">
        <v>3</v>
      </c>
      <c r="D3" s="104"/>
      <c r="E3" s="104">
        <v>2</v>
      </c>
      <c r="F3" s="104" t="s">
        <v>1635</v>
      </c>
      <c r="G3" s="104">
        <v>10</v>
      </c>
    </row>
    <row r="4" spans="1:7" ht="24" customHeight="1" x14ac:dyDescent="0.25">
      <c r="A4" s="104">
        <v>2</v>
      </c>
      <c r="B4" s="104" t="s">
        <v>2106</v>
      </c>
      <c r="C4" s="104">
        <v>3</v>
      </c>
      <c r="D4" s="104"/>
      <c r="E4" s="104">
        <v>4</v>
      </c>
      <c r="F4" s="104" t="s">
        <v>2258</v>
      </c>
      <c r="G4" s="104">
        <v>20</v>
      </c>
    </row>
    <row r="5" spans="1:7" ht="24" customHeight="1" x14ac:dyDescent="0.25">
      <c r="A5" s="104">
        <v>2</v>
      </c>
      <c r="B5" s="104" t="s">
        <v>2136</v>
      </c>
      <c r="C5" s="104">
        <v>3</v>
      </c>
      <c r="D5" s="104"/>
      <c r="E5" s="104">
        <v>7</v>
      </c>
      <c r="F5" s="104" t="s">
        <v>2266</v>
      </c>
      <c r="G5" s="104">
        <v>10</v>
      </c>
    </row>
    <row r="6" spans="1:7" ht="24" customHeight="1" x14ac:dyDescent="0.25">
      <c r="A6" s="104">
        <v>2</v>
      </c>
      <c r="B6" s="104" t="s">
        <v>2122</v>
      </c>
      <c r="C6" s="104">
        <v>3</v>
      </c>
      <c r="D6" s="104"/>
      <c r="E6" s="104"/>
      <c r="F6" s="104"/>
      <c r="G6" s="104"/>
    </row>
    <row r="7" spans="1:7" ht="24" customHeight="1" x14ac:dyDescent="0.25">
      <c r="A7" s="104">
        <v>2</v>
      </c>
      <c r="B7" s="104" t="s">
        <v>1675</v>
      </c>
      <c r="C7" s="104">
        <v>2</v>
      </c>
      <c r="D7" s="104"/>
      <c r="E7" s="104"/>
      <c r="F7" s="104"/>
      <c r="G7" s="104"/>
    </row>
    <row r="8" spans="1:7" ht="24" customHeight="1" x14ac:dyDescent="0.25">
      <c r="A8" s="104">
        <v>2</v>
      </c>
      <c r="B8" s="104" t="s">
        <v>1603</v>
      </c>
      <c r="C8" s="104">
        <v>2</v>
      </c>
      <c r="D8" s="104"/>
      <c r="E8" s="104"/>
      <c r="F8" s="104"/>
      <c r="G8" s="104"/>
    </row>
    <row r="9" spans="1:7" ht="24" customHeight="1" x14ac:dyDescent="0.25">
      <c r="A9" s="104">
        <v>3</v>
      </c>
      <c r="B9" s="104" t="s">
        <v>1575</v>
      </c>
      <c r="C9" s="104">
        <v>3</v>
      </c>
      <c r="D9" s="104"/>
      <c r="E9" s="104"/>
      <c r="F9" s="104"/>
      <c r="G9" s="104"/>
    </row>
    <row r="10" spans="1:7" ht="24" customHeight="1" x14ac:dyDescent="0.25">
      <c r="A10" s="104">
        <v>3</v>
      </c>
      <c r="B10" s="104" t="s">
        <v>2124</v>
      </c>
      <c r="C10" s="104">
        <v>3</v>
      </c>
      <c r="D10" s="104"/>
      <c r="E10" s="104"/>
      <c r="F10" s="104"/>
      <c r="G10" s="104"/>
    </row>
    <row r="11" spans="1:7" ht="24" customHeight="1" x14ac:dyDescent="0.25">
      <c r="A11" s="104">
        <v>4</v>
      </c>
      <c r="B11" s="104" t="s">
        <v>1606</v>
      </c>
      <c r="C11" s="104">
        <v>3</v>
      </c>
      <c r="D11" s="104"/>
      <c r="E11" s="104"/>
      <c r="F11" s="104"/>
      <c r="G11" s="104"/>
    </row>
    <row r="12" spans="1:7" ht="24" customHeight="1" x14ac:dyDescent="0.25">
      <c r="A12" s="104">
        <v>4</v>
      </c>
      <c r="B12" s="104" t="s">
        <v>2113</v>
      </c>
      <c r="C12" s="104">
        <v>3</v>
      </c>
      <c r="D12" s="104"/>
      <c r="E12" s="104"/>
      <c r="F12" s="104"/>
      <c r="G12" s="104"/>
    </row>
    <row r="13" spans="1:7" ht="24" customHeight="1" x14ac:dyDescent="0.25">
      <c r="A13" s="104">
        <v>5</v>
      </c>
      <c r="B13" s="104" t="s">
        <v>2102</v>
      </c>
      <c r="C13" s="104">
        <v>3</v>
      </c>
      <c r="D13" s="104"/>
      <c r="E13" s="104"/>
      <c r="F13" s="104"/>
      <c r="G13" s="104"/>
    </row>
    <row r="14" spans="1:7" ht="24" customHeight="1" x14ac:dyDescent="0.25">
      <c r="A14" s="104">
        <v>5</v>
      </c>
      <c r="B14" s="104" t="s">
        <v>2117</v>
      </c>
      <c r="C14" s="104">
        <v>3</v>
      </c>
      <c r="D14" s="104"/>
      <c r="E14" s="104"/>
      <c r="F14" s="104"/>
      <c r="G14" s="104"/>
    </row>
    <row r="15" spans="1:7" ht="24" customHeight="1" x14ac:dyDescent="0.25">
      <c r="A15" s="104">
        <v>7</v>
      </c>
      <c r="B15" s="104" t="s">
        <v>2127</v>
      </c>
      <c r="C15" s="104">
        <v>3</v>
      </c>
      <c r="D15" s="104"/>
      <c r="E15" s="104"/>
      <c r="F15" s="104"/>
      <c r="G15" s="104"/>
    </row>
    <row r="16" spans="1:7" ht="24" customHeight="1" x14ac:dyDescent="0.25">
      <c r="A16" s="104">
        <v>7</v>
      </c>
      <c r="B16" s="104" t="s">
        <v>2139</v>
      </c>
      <c r="C16" s="104">
        <v>3</v>
      </c>
      <c r="D16" s="104"/>
      <c r="E16" s="104"/>
      <c r="F16" s="104"/>
      <c r="G16" s="104"/>
    </row>
  </sheetData>
  <phoneticPr fontId="11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M277"/>
  <sheetViews>
    <sheetView showGridLines="0" workbookViewId="0">
      <selection activeCell="L12" sqref="L12"/>
    </sheetView>
  </sheetViews>
  <sheetFormatPr defaultColWidth="5.77734375" defaultRowHeight="15" customHeight="1" x14ac:dyDescent="0.25"/>
  <cols>
    <col min="1" max="1" width="8.77734375" style="12" customWidth="1"/>
    <col min="2" max="2" width="8.44140625" style="12" customWidth="1"/>
    <col min="3" max="3" width="5.44140625" style="12" customWidth="1"/>
    <col min="4" max="4" width="12.77734375" style="12" customWidth="1"/>
    <col min="5" max="5" width="100.77734375" style="13" customWidth="1"/>
    <col min="6" max="6" width="5.77734375" style="11"/>
    <col min="7" max="7" width="5.44140625" style="12" customWidth="1"/>
    <col min="8" max="8" width="20" style="12" customWidth="1"/>
    <col min="9" max="9" width="6.44140625" style="12" customWidth="1"/>
    <col min="10" max="10" width="30.5546875" style="12" customWidth="1"/>
    <col min="11" max="11" width="5.77734375" style="11"/>
    <col min="12" max="12" width="12.109375" style="12" customWidth="1"/>
    <col min="13" max="13" width="10.33203125" style="12" customWidth="1"/>
    <col min="14" max="16384" width="5.77734375" style="11"/>
  </cols>
  <sheetData>
    <row r="1" spans="1:13" ht="15" customHeight="1" x14ac:dyDescent="0.25">
      <c r="A1" s="14" t="s">
        <v>181</v>
      </c>
      <c r="B1" s="14" t="s">
        <v>182</v>
      </c>
      <c r="C1" s="14" t="s">
        <v>183</v>
      </c>
      <c r="D1" s="14" t="s">
        <v>184</v>
      </c>
      <c r="E1" s="14" t="s">
        <v>185</v>
      </c>
      <c r="G1" s="14" t="s">
        <v>183</v>
      </c>
      <c r="H1" s="14" t="s">
        <v>186</v>
      </c>
      <c r="I1" s="14" t="s">
        <v>187</v>
      </c>
      <c r="J1" s="14" t="s">
        <v>188</v>
      </c>
      <c r="L1" s="14" t="s">
        <v>189</v>
      </c>
      <c r="M1" s="14" t="s">
        <v>190</v>
      </c>
    </row>
    <row r="2" spans="1:13" ht="15" customHeight="1" x14ac:dyDescent="0.25">
      <c r="A2" s="15" t="s">
        <v>2505</v>
      </c>
      <c r="B2" s="15">
        <v>1000001</v>
      </c>
      <c r="C2" s="15" t="s">
        <v>2506</v>
      </c>
      <c r="D2" s="15" t="s">
        <v>2507</v>
      </c>
      <c r="E2" s="16"/>
      <c r="G2" s="15" t="s">
        <v>2506</v>
      </c>
      <c r="H2" s="15" t="s">
        <v>2550</v>
      </c>
      <c r="I2" s="15" t="s">
        <v>2551</v>
      </c>
      <c r="J2" s="15"/>
      <c r="L2" s="12" t="s">
        <v>1879</v>
      </c>
      <c r="M2" s="15" t="s">
        <v>2497</v>
      </c>
    </row>
    <row r="3" spans="1:13" ht="15" customHeight="1" x14ac:dyDescent="0.25">
      <c r="A3" s="12" t="s">
        <v>2547</v>
      </c>
      <c r="B3" s="12">
        <v>1551102</v>
      </c>
      <c r="C3" s="15" t="s">
        <v>2506</v>
      </c>
      <c r="D3" s="15" t="s">
        <v>2548</v>
      </c>
      <c r="G3" s="12" t="s">
        <v>2506</v>
      </c>
      <c r="H3" s="12" t="s">
        <v>2550</v>
      </c>
      <c r="I3" s="12" t="s">
        <v>2552</v>
      </c>
      <c r="L3" s="12" t="s">
        <v>1880</v>
      </c>
      <c r="M3" s="12" t="s">
        <v>2497</v>
      </c>
    </row>
    <row r="4" spans="1:13" ht="15" customHeight="1" x14ac:dyDescent="0.25">
      <c r="A4" s="12" t="s">
        <v>2508</v>
      </c>
      <c r="B4" s="12">
        <v>1551102</v>
      </c>
      <c r="C4" s="15" t="s">
        <v>2506</v>
      </c>
      <c r="D4" s="15" t="s">
        <v>2548</v>
      </c>
      <c r="G4" s="12" t="s">
        <v>2506</v>
      </c>
      <c r="H4" s="12" t="s">
        <v>2550</v>
      </c>
      <c r="I4" s="12" t="s">
        <v>2594</v>
      </c>
      <c r="L4" s="15" t="s">
        <v>1881</v>
      </c>
      <c r="M4" s="12">
        <v>5</v>
      </c>
    </row>
    <row r="5" spans="1:13" ht="15" customHeight="1" x14ac:dyDescent="0.25">
      <c r="A5" s="12" t="s">
        <v>2509</v>
      </c>
      <c r="B5" s="12">
        <v>1451402</v>
      </c>
      <c r="C5" s="15" t="s">
        <v>2506</v>
      </c>
      <c r="D5" s="15" t="s">
        <v>2548</v>
      </c>
      <c r="G5" s="12" t="s">
        <v>2506</v>
      </c>
      <c r="H5" s="12" t="s">
        <v>2550</v>
      </c>
      <c r="I5" s="12">
        <v>0</v>
      </c>
      <c r="L5" s="15" t="s">
        <v>1882</v>
      </c>
      <c r="M5" s="12">
        <v>2</v>
      </c>
    </row>
    <row r="6" spans="1:13" ht="15" customHeight="1" x14ac:dyDescent="0.25">
      <c r="A6" s="12" t="s">
        <v>2510</v>
      </c>
      <c r="B6" s="12">
        <v>1551101</v>
      </c>
      <c r="C6" s="15" t="s">
        <v>2506</v>
      </c>
      <c r="D6" s="15" t="s">
        <v>2548</v>
      </c>
      <c r="G6" s="12" t="s">
        <v>2595</v>
      </c>
      <c r="H6" s="12" t="s">
        <v>2596</v>
      </c>
      <c r="I6" s="12" t="s">
        <v>2505</v>
      </c>
      <c r="L6" s="12" t="s">
        <v>1883</v>
      </c>
      <c r="M6" s="12">
        <v>0</v>
      </c>
    </row>
    <row r="7" spans="1:13" ht="15" customHeight="1" x14ac:dyDescent="0.25">
      <c r="A7" s="12" t="s">
        <v>2511</v>
      </c>
      <c r="B7" s="12">
        <v>1551102</v>
      </c>
      <c r="C7" s="15" t="s">
        <v>2506</v>
      </c>
      <c r="D7" s="15" t="s">
        <v>2548</v>
      </c>
      <c r="G7" s="12" t="s">
        <v>2595</v>
      </c>
      <c r="H7" s="12" t="s">
        <v>2550</v>
      </c>
      <c r="I7" s="12" t="s">
        <v>2514</v>
      </c>
      <c r="L7" s="12" t="s">
        <v>1884</v>
      </c>
      <c r="M7" s="12">
        <v>1</v>
      </c>
    </row>
    <row r="8" spans="1:13" ht="15" customHeight="1" x14ac:dyDescent="0.25">
      <c r="A8" s="12" t="s">
        <v>2512</v>
      </c>
      <c r="B8" s="12">
        <v>1551102</v>
      </c>
      <c r="C8" s="12" t="s">
        <v>2506</v>
      </c>
      <c r="D8" s="12" t="s">
        <v>2548</v>
      </c>
      <c r="G8" s="12" t="s">
        <v>2595</v>
      </c>
      <c r="H8" s="12" t="s">
        <v>2597</v>
      </c>
      <c r="I8" s="12" t="s">
        <v>2514</v>
      </c>
      <c r="L8" s="12" t="s">
        <v>1885</v>
      </c>
      <c r="M8" s="12">
        <v>5</v>
      </c>
    </row>
    <row r="9" spans="1:13" ht="15" customHeight="1" x14ac:dyDescent="0.25">
      <c r="A9" s="12" t="s">
        <v>2515</v>
      </c>
      <c r="B9" s="12">
        <v>1551102</v>
      </c>
      <c r="C9" s="12" t="s">
        <v>2506</v>
      </c>
      <c r="D9" s="12" t="s">
        <v>2548</v>
      </c>
      <c r="G9" s="12" t="s">
        <v>2595</v>
      </c>
      <c r="H9" s="12" t="s">
        <v>2598</v>
      </c>
      <c r="I9" s="12" t="s">
        <v>2514</v>
      </c>
      <c r="L9" s="12" t="s">
        <v>1886</v>
      </c>
      <c r="M9" s="12">
        <v>6</v>
      </c>
    </row>
    <row r="10" spans="1:13" ht="15" customHeight="1" x14ac:dyDescent="0.25">
      <c r="A10" s="12" t="s">
        <v>2518</v>
      </c>
      <c r="B10" s="12">
        <v>1451402</v>
      </c>
      <c r="C10" s="12" t="s">
        <v>2506</v>
      </c>
      <c r="D10" s="12" t="s">
        <v>2548</v>
      </c>
      <c r="G10" s="12" t="s">
        <v>2599</v>
      </c>
      <c r="H10" s="12" t="s">
        <v>2600</v>
      </c>
      <c r="I10" s="12" t="s">
        <v>2505</v>
      </c>
      <c r="L10" s="12" t="s">
        <v>1887</v>
      </c>
    </row>
    <row r="11" spans="1:13" ht="15" customHeight="1" x14ac:dyDescent="0.25">
      <c r="A11" s="12" t="s">
        <v>2519</v>
      </c>
      <c r="B11" s="12">
        <v>1551102</v>
      </c>
      <c r="C11" s="12" t="s">
        <v>2506</v>
      </c>
      <c r="D11" s="12" t="s">
        <v>2548</v>
      </c>
      <c r="G11" s="12" t="s">
        <v>2602</v>
      </c>
      <c r="H11" s="12" t="s">
        <v>2596</v>
      </c>
      <c r="I11" s="12" t="s">
        <v>2553</v>
      </c>
      <c r="L11" s="12" t="s">
        <v>1888</v>
      </c>
    </row>
    <row r="12" spans="1:13" ht="15" customHeight="1" x14ac:dyDescent="0.25">
      <c r="A12" s="12" t="s">
        <v>2520</v>
      </c>
      <c r="B12" s="12">
        <v>1451402</v>
      </c>
      <c r="C12" s="12" t="s">
        <v>2506</v>
      </c>
      <c r="D12" s="12" t="s">
        <v>2548</v>
      </c>
      <c r="G12" s="12" t="s">
        <v>2602</v>
      </c>
      <c r="H12" s="12" t="s">
        <v>2550</v>
      </c>
      <c r="I12" s="12" t="s">
        <v>2588</v>
      </c>
      <c r="L12" s="106" t="s">
        <v>1916</v>
      </c>
      <c r="M12" s="12">
        <v>30</v>
      </c>
    </row>
    <row r="13" spans="1:13" ht="15" customHeight="1" x14ac:dyDescent="0.25">
      <c r="A13" s="12" t="s">
        <v>2521</v>
      </c>
      <c r="B13" s="12">
        <v>1451402</v>
      </c>
      <c r="C13" s="12" t="s">
        <v>2506</v>
      </c>
      <c r="D13" s="12" t="s">
        <v>2548</v>
      </c>
      <c r="G13" s="12" t="s">
        <v>2602</v>
      </c>
      <c r="H13" s="12" t="s">
        <v>2597</v>
      </c>
      <c r="I13" s="12" t="s">
        <v>2588</v>
      </c>
      <c r="L13" s="106" t="s">
        <v>1917</v>
      </c>
      <c r="M13" s="12">
        <v>32</v>
      </c>
    </row>
    <row r="14" spans="1:13" ht="15" customHeight="1" x14ac:dyDescent="0.25">
      <c r="A14" s="12" t="s">
        <v>2522</v>
      </c>
      <c r="B14" s="12">
        <v>1451402</v>
      </c>
      <c r="C14" s="12" t="s">
        <v>2506</v>
      </c>
      <c r="D14" s="12" t="s">
        <v>2548</v>
      </c>
      <c r="G14" s="12" t="s">
        <v>2602</v>
      </c>
      <c r="H14" s="12" t="s">
        <v>2598</v>
      </c>
      <c r="I14" s="12" t="s">
        <v>2588</v>
      </c>
    </row>
    <row r="15" spans="1:13" ht="15" customHeight="1" x14ac:dyDescent="0.25">
      <c r="A15" s="12" t="s">
        <v>2523</v>
      </c>
      <c r="B15" s="12">
        <v>1551102</v>
      </c>
      <c r="C15" s="12" t="s">
        <v>2506</v>
      </c>
      <c r="D15" s="12" t="s">
        <v>2548</v>
      </c>
      <c r="G15" s="12" t="s">
        <v>2602</v>
      </c>
      <c r="H15" s="12" t="s">
        <v>2606</v>
      </c>
      <c r="I15" s="12" t="s">
        <v>2575</v>
      </c>
      <c r="J15" s="12" t="s">
        <v>2504</v>
      </c>
    </row>
    <row r="16" spans="1:13" ht="15" customHeight="1" x14ac:dyDescent="0.25">
      <c r="A16" s="12" t="s">
        <v>2525</v>
      </c>
      <c r="B16" s="12">
        <v>1551102</v>
      </c>
      <c r="C16" s="12" t="s">
        <v>2506</v>
      </c>
      <c r="D16" s="12" t="s">
        <v>2548</v>
      </c>
      <c r="G16" s="12" t="s">
        <v>2602</v>
      </c>
      <c r="H16" s="12" t="s">
        <v>2608</v>
      </c>
      <c r="I16" s="12" t="s">
        <v>2575</v>
      </c>
      <c r="J16" s="12" t="s">
        <v>2504</v>
      </c>
    </row>
    <row r="17" spans="1:10" ht="15" customHeight="1" x14ac:dyDescent="0.25">
      <c r="A17" s="12" t="s">
        <v>2526</v>
      </c>
      <c r="B17" s="12">
        <v>1551102</v>
      </c>
      <c r="C17" s="12" t="s">
        <v>2506</v>
      </c>
      <c r="D17" s="12" t="s">
        <v>2548</v>
      </c>
      <c r="G17" s="12" t="s">
        <v>2602</v>
      </c>
      <c r="H17" s="12" t="s">
        <v>2609</v>
      </c>
      <c r="I17" s="12" t="s">
        <v>2575</v>
      </c>
    </row>
    <row r="18" spans="1:10" ht="15" customHeight="1" x14ac:dyDescent="0.25">
      <c r="A18" s="12" t="s">
        <v>2527</v>
      </c>
      <c r="B18" s="12">
        <v>1451402</v>
      </c>
      <c r="C18" s="12" t="s">
        <v>2506</v>
      </c>
      <c r="D18" s="12" t="s">
        <v>2548</v>
      </c>
      <c r="G18" s="12" t="s">
        <v>2602</v>
      </c>
      <c r="H18" s="12" t="s">
        <v>2610</v>
      </c>
      <c r="I18" s="12" t="s">
        <v>2553</v>
      </c>
      <c r="J18" s="12">
        <v>2</v>
      </c>
    </row>
    <row r="19" spans="1:10" ht="15" customHeight="1" x14ac:dyDescent="0.25">
      <c r="A19" s="12" t="s">
        <v>2528</v>
      </c>
      <c r="B19" s="12">
        <v>1451402</v>
      </c>
      <c r="C19" s="12" t="s">
        <v>2506</v>
      </c>
      <c r="D19" s="12" t="s">
        <v>2548</v>
      </c>
      <c r="G19" s="12" t="s">
        <v>2602</v>
      </c>
      <c r="H19" s="12" t="s">
        <v>2597</v>
      </c>
      <c r="I19" s="12" t="s">
        <v>2612</v>
      </c>
    </row>
    <row r="20" spans="1:10" ht="15" customHeight="1" x14ac:dyDescent="0.25">
      <c r="A20" s="12" t="s">
        <v>2529</v>
      </c>
      <c r="B20" s="12">
        <v>1551102</v>
      </c>
      <c r="C20" s="12" t="s">
        <v>2506</v>
      </c>
      <c r="D20" s="12" t="s">
        <v>2548</v>
      </c>
      <c r="G20" s="12" t="s">
        <v>2602</v>
      </c>
      <c r="H20" s="12" t="s">
        <v>2600</v>
      </c>
      <c r="I20" s="12" t="s">
        <v>2553</v>
      </c>
    </row>
    <row r="21" spans="1:10" ht="15" customHeight="1" x14ac:dyDescent="0.25">
      <c r="A21" s="12" t="s">
        <v>2530</v>
      </c>
      <c r="B21" s="12">
        <v>1551101</v>
      </c>
      <c r="C21" s="12" t="s">
        <v>2506</v>
      </c>
      <c r="D21" s="12" t="s">
        <v>2548</v>
      </c>
      <c r="G21" s="12" t="s">
        <v>2616</v>
      </c>
      <c r="H21" s="12" t="s">
        <v>2596</v>
      </c>
      <c r="I21" s="12" t="s">
        <v>2505</v>
      </c>
    </row>
    <row r="22" spans="1:10" ht="15" customHeight="1" x14ac:dyDescent="0.25">
      <c r="A22" s="12" t="s">
        <v>2534</v>
      </c>
      <c r="B22" s="12">
        <v>1451402</v>
      </c>
      <c r="C22" s="12" t="s">
        <v>2506</v>
      </c>
      <c r="D22" s="12" t="s">
        <v>2548</v>
      </c>
      <c r="G22" s="12" t="s">
        <v>2616</v>
      </c>
      <c r="H22" s="12" t="s">
        <v>2550</v>
      </c>
      <c r="I22" s="12" t="s">
        <v>2546</v>
      </c>
    </row>
    <row r="23" spans="1:10" ht="15" customHeight="1" x14ac:dyDescent="0.25">
      <c r="A23" s="12" t="s">
        <v>2535</v>
      </c>
      <c r="B23" s="12">
        <v>1551102</v>
      </c>
      <c r="C23" s="12" t="s">
        <v>2506</v>
      </c>
      <c r="D23" s="12" t="s">
        <v>2548</v>
      </c>
      <c r="G23" s="12" t="s">
        <v>2616</v>
      </c>
      <c r="H23" s="12" t="s">
        <v>2597</v>
      </c>
      <c r="I23" s="12" t="s">
        <v>2546</v>
      </c>
    </row>
    <row r="24" spans="1:10" ht="15" customHeight="1" x14ac:dyDescent="0.25">
      <c r="A24" s="12" t="s">
        <v>2539</v>
      </c>
      <c r="B24" s="12">
        <v>1551102</v>
      </c>
      <c r="C24" s="12" t="s">
        <v>2506</v>
      </c>
      <c r="D24" s="12" t="s">
        <v>2548</v>
      </c>
      <c r="G24" s="12" t="s">
        <v>2616</v>
      </c>
      <c r="H24" s="12" t="s">
        <v>2598</v>
      </c>
      <c r="I24" s="12" t="s">
        <v>2546</v>
      </c>
    </row>
    <row r="25" spans="1:10" ht="15" customHeight="1" x14ac:dyDescent="0.25">
      <c r="A25" s="12" t="s">
        <v>2541</v>
      </c>
      <c r="B25" s="12">
        <v>1551101</v>
      </c>
      <c r="C25" s="12" t="s">
        <v>2506</v>
      </c>
      <c r="D25" s="12" t="s">
        <v>2548</v>
      </c>
      <c r="G25" s="12" t="s">
        <v>2616</v>
      </c>
      <c r="H25" s="12" t="s">
        <v>2606</v>
      </c>
      <c r="I25" s="12" t="s">
        <v>2542</v>
      </c>
      <c r="J25" s="12" t="s">
        <v>2504</v>
      </c>
    </row>
    <row r="26" spans="1:10" ht="15" customHeight="1" x14ac:dyDescent="0.25">
      <c r="A26" s="12" t="s">
        <v>2543</v>
      </c>
      <c r="B26" s="12">
        <v>1551101</v>
      </c>
      <c r="C26" s="12" t="s">
        <v>2506</v>
      </c>
      <c r="D26" s="12" t="s">
        <v>2548</v>
      </c>
      <c r="E26" s="16"/>
      <c r="G26" s="12" t="s">
        <v>2616</v>
      </c>
      <c r="H26" s="12" t="s">
        <v>2608</v>
      </c>
      <c r="I26" s="12" t="s">
        <v>2542</v>
      </c>
      <c r="J26" s="12" t="s">
        <v>2504</v>
      </c>
    </row>
    <row r="27" spans="1:10" ht="15" customHeight="1" x14ac:dyDescent="0.25">
      <c r="A27" s="12" t="s">
        <v>2544</v>
      </c>
      <c r="B27" s="12">
        <v>1551101</v>
      </c>
      <c r="C27" s="12" t="s">
        <v>2506</v>
      </c>
      <c r="D27" s="12" t="s">
        <v>2548</v>
      </c>
      <c r="E27" s="16"/>
      <c r="G27" s="12" t="s">
        <v>2616</v>
      </c>
      <c r="H27" s="12" t="s">
        <v>2609</v>
      </c>
      <c r="I27" s="12" t="s">
        <v>2542</v>
      </c>
    </row>
    <row r="28" spans="1:10" ht="15" customHeight="1" x14ac:dyDescent="0.25">
      <c r="A28" s="12" t="s">
        <v>2545</v>
      </c>
      <c r="B28" s="12">
        <v>1551101</v>
      </c>
      <c r="C28" s="12" t="s">
        <v>2506</v>
      </c>
      <c r="D28" s="12" t="s">
        <v>2548</v>
      </c>
      <c r="E28" s="16"/>
      <c r="G28" s="12" t="s">
        <v>2616</v>
      </c>
      <c r="H28" s="12" t="s">
        <v>2610</v>
      </c>
      <c r="I28" s="12" t="s">
        <v>2505</v>
      </c>
      <c r="J28" s="12">
        <v>2</v>
      </c>
    </row>
    <row r="29" spans="1:10" ht="15" customHeight="1" x14ac:dyDescent="0.25">
      <c r="A29" s="12" t="s">
        <v>2540</v>
      </c>
      <c r="B29" s="12">
        <v>1551101</v>
      </c>
      <c r="C29" s="12" t="s">
        <v>2506</v>
      </c>
      <c r="D29" s="12" t="s">
        <v>2549</v>
      </c>
      <c r="E29" s="16"/>
      <c r="G29" s="12" t="s">
        <v>2616</v>
      </c>
      <c r="H29" s="12" t="s">
        <v>2597</v>
      </c>
      <c r="I29" s="12" t="s">
        <v>2619</v>
      </c>
    </row>
    <row r="30" spans="1:10" ht="15" customHeight="1" x14ac:dyDescent="0.25">
      <c r="A30" s="12" t="s">
        <v>2524</v>
      </c>
      <c r="B30" s="12">
        <v>1551102</v>
      </c>
      <c r="C30" s="12" t="s">
        <v>2506</v>
      </c>
      <c r="D30" s="12" t="s">
        <v>2549</v>
      </c>
      <c r="E30" s="16"/>
      <c r="G30" s="12" t="s">
        <v>2616</v>
      </c>
      <c r="H30" s="12" t="s">
        <v>2600</v>
      </c>
      <c r="I30" s="12" t="s">
        <v>2505</v>
      </c>
    </row>
    <row r="31" spans="1:10" ht="15" customHeight="1" x14ac:dyDescent="0.25">
      <c r="A31" s="12" t="s">
        <v>2517</v>
      </c>
      <c r="B31" s="12">
        <v>1551102</v>
      </c>
      <c r="C31" s="12" t="s">
        <v>2506</v>
      </c>
      <c r="D31" s="12" t="s">
        <v>2549</v>
      </c>
      <c r="E31" s="16"/>
      <c r="G31" s="12" t="s">
        <v>2621</v>
      </c>
      <c r="H31" s="12" t="s">
        <v>2596</v>
      </c>
      <c r="I31" s="12" t="s">
        <v>2553</v>
      </c>
    </row>
    <row r="32" spans="1:10" ht="15" customHeight="1" x14ac:dyDescent="0.25">
      <c r="A32" s="12" t="s">
        <v>2536</v>
      </c>
      <c r="B32" s="12">
        <v>1551101</v>
      </c>
      <c r="C32" s="12" t="s">
        <v>2506</v>
      </c>
      <c r="D32" s="12" t="s">
        <v>2548</v>
      </c>
      <c r="E32" s="16"/>
      <c r="G32" s="12" t="s">
        <v>2621</v>
      </c>
      <c r="H32" s="12" t="s">
        <v>2550</v>
      </c>
      <c r="I32" s="12" t="s">
        <v>2587</v>
      </c>
    </row>
    <row r="33" spans="1:10" ht="15" customHeight="1" x14ac:dyDescent="0.25">
      <c r="A33" s="12" t="s">
        <v>2553</v>
      </c>
      <c r="B33" s="12">
        <v>1000002</v>
      </c>
      <c r="C33" s="12" t="s">
        <v>2506</v>
      </c>
      <c r="D33" s="12" t="s">
        <v>2507</v>
      </c>
      <c r="E33" s="16"/>
      <c r="G33" s="12" t="s">
        <v>2621</v>
      </c>
      <c r="H33" s="12" t="s">
        <v>2597</v>
      </c>
      <c r="I33" s="12" t="s">
        <v>2587</v>
      </c>
    </row>
    <row r="34" spans="1:10" ht="15" customHeight="1" x14ac:dyDescent="0.25">
      <c r="A34" s="12" t="s">
        <v>2554</v>
      </c>
      <c r="B34" s="12">
        <v>1551102</v>
      </c>
      <c r="C34" s="12" t="s">
        <v>2506</v>
      </c>
      <c r="D34" s="12" t="s">
        <v>2548</v>
      </c>
      <c r="E34" s="16"/>
      <c r="G34" s="12" t="s">
        <v>2621</v>
      </c>
      <c r="H34" s="12" t="s">
        <v>2598</v>
      </c>
      <c r="I34" s="12" t="s">
        <v>2587</v>
      </c>
    </row>
    <row r="35" spans="1:10" ht="15" customHeight="1" x14ac:dyDescent="0.25">
      <c r="A35" s="12" t="s">
        <v>2555</v>
      </c>
      <c r="B35" s="12">
        <v>1551102</v>
      </c>
      <c r="C35" s="12" t="s">
        <v>2506</v>
      </c>
      <c r="D35" s="12" t="s">
        <v>2548</v>
      </c>
      <c r="E35" s="16"/>
      <c r="G35" s="12" t="s">
        <v>2621</v>
      </c>
      <c r="H35" s="12" t="s">
        <v>2623</v>
      </c>
      <c r="I35" s="12" t="s">
        <v>2575</v>
      </c>
      <c r="J35" s="12" t="s">
        <v>2504</v>
      </c>
    </row>
    <row r="36" spans="1:10" ht="15" customHeight="1" x14ac:dyDescent="0.25">
      <c r="A36" s="12" t="s">
        <v>2556</v>
      </c>
      <c r="B36" s="12">
        <v>1451402</v>
      </c>
      <c r="C36" s="12" t="s">
        <v>2506</v>
      </c>
      <c r="D36" s="12" t="s">
        <v>2548</v>
      </c>
      <c r="E36" s="16"/>
      <c r="G36" s="12" t="s">
        <v>2621</v>
      </c>
      <c r="H36" s="12" t="s">
        <v>2624</v>
      </c>
      <c r="I36" s="12" t="s">
        <v>2575</v>
      </c>
      <c r="J36" s="12" t="s">
        <v>2504</v>
      </c>
    </row>
    <row r="37" spans="1:10" ht="15" customHeight="1" x14ac:dyDescent="0.25">
      <c r="A37" s="12" t="s">
        <v>2557</v>
      </c>
      <c r="B37" s="12">
        <v>1551101</v>
      </c>
      <c r="C37" s="12" t="s">
        <v>2506</v>
      </c>
      <c r="D37" s="12" t="s">
        <v>2548</v>
      </c>
      <c r="E37" s="16"/>
      <c r="G37" s="12" t="s">
        <v>2621</v>
      </c>
      <c r="H37" s="12" t="s">
        <v>2624</v>
      </c>
      <c r="I37" s="12" t="s">
        <v>2542</v>
      </c>
      <c r="J37" s="12" t="s">
        <v>2504</v>
      </c>
    </row>
    <row r="38" spans="1:10" ht="15" customHeight="1" x14ac:dyDescent="0.25">
      <c r="A38" s="12" t="s">
        <v>2558</v>
      </c>
      <c r="B38" s="12">
        <v>1551102</v>
      </c>
      <c r="C38" s="12" t="s">
        <v>2506</v>
      </c>
      <c r="D38" s="12" t="s">
        <v>2548</v>
      </c>
      <c r="E38" s="16"/>
      <c r="G38" s="12" t="s">
        <v>2621</v>
      </c>
      <c r="H38" s="12" t="s">
        <v>2626</v>
      </c>
      <c r="I38" s="12" t="s">
        <v>2575</v>
      </c>
      <c r="J38" s="12" t="s">
        <v>2504</v>
      </c>
    </row>
    <row r="39" spans="1:10" ht="15" customHeight="1" x14ac:dyDescent="0.25">
      <c r="A39" s="12" t="s">
        <v>2559</v>
      </c>
      <c r="B39" s="12">
        <v>1551102</v>
      </c>
      <c r="C39" s="12" t="s">
        <v>2506</v>
      </c>
      <c r="D39" s="12" t="s">
        <v>2548</v>
      </c>
      <c r="E39" s="16"/>
      <c r="G39" s="12" t="s">
        <v>2621</v>
      </c>
      <c r="H39" s="12" t="s">
        <v>2627</v>
      </c>
      <c r="I39" s="12" t="s">
        <v>2575</v>
      </c>
    </row>
    <row r="40" spans="1:10" ht="15" customHeight="1" x14ac:dyDescent="0.25">
      <c r="A40" s="12" t="s">
        <v>2560</v>
      </c>
      <c r="B40" s="12">
        <v>1551102</v>
      </c>
      <c r="C40" s="12" t="s">
        <v>2506</v>
      </c>
      <c r="D40" s="12" t="s">
        <v>2548</v>
      </c>
      <c r="E40" s="16"/>
      <c r="G40" s="12" t="s">
        <v>2621</v>
      </c>
      <c r="H40" s="12" t="s">
        <v>2626</v>
      </c>
      <c r="I40" s="12" t="s">
        <v>2542</v>
      </c>
      <c r="J40" s="12" t="s">
        <v>2504</v>
      </c>
    </row>
    <row r="41" spans="1:10" ht="15" customHeight="1" x14ac:dyDescent="0.25">
      <c r="A41" s="12" t="s">
        <v>2562</v>
      </c>
      <c r="B41" s="12">
        <v>1551102</v>
      </c>
      <c r="C41" s="12" t="s">
        <v>2506</v>
      </c>
      <c r="D41" s="12" t="s">
        <v>2548</v>
      </c>
      <c r="E41" s="16"/>
      <c r="G41" s="12" t="s">
        <v>2621</v>
      </c>
      <c r="H41" s="12" t="s">
        <v>2627</v>
      </c>
      <c r="I41" s="12" t="s">
        <v>2542</v>
      </c>
    </row>
    <row r="42" spans="1:10" ht="15" customHeight="1" x14ac:dyDescent="0.25">
      <c r="A42" s="12" t="s">
        <v>2564</v>
      </c>
      <c r="B42" s="12">
        <v>1551102</v>
      </c>
      <c r="C42" s="12" t="s">
        <v>2506</v>
      </c>
      <c r="D42" s="12" t="s">
        <v>2548</v>
      </c>
      <c r="E42" s="16"/>
      <c r="G42" s="12" t="s">
        <v>2621</v>
      </c>
      <c r="H42" s="12" t="s">
        <v>2600</v>
      </c>
      <c r="I42" s="12" t="s">
        <v>2553</v>
      </c>
    </row>
    <row r="43" spans="1:10" ht="15" customHeight="1" x14ac:dyDescent="0.25">
      <c r="A43" s="12" t="s">
        <v>2565</v>
      </c>
      <c r="B43" s="12">
        <v>1451402</v>
      </c>
      <c r="C43" s="12" t="s">
        <v>2506</v>
      </c>
      <c r="D43" s="12" t="s">
        <v>2548</v>
      </c>
      <c r="E43" s="16"/>
      <c r="G43" s="12" t="s">
        <v>2629</v>
      </c>
      <c r="H43" s="12" t="s">
        <v>2596</v>
      </c>
      <c r="I43" s="12" t="s">
        <v>2505</v>
      </c>
    </row>
    <row r="44" spans="1:10" ht="15" customHeight="1" x14ac:dyDescent="0.25">
      <c r="A44" s="12" t="s">
        <v>2566</v>
      </c>
      <c r="B44" s="12">
        <v>1551102</v>
      </c>
      <c r="C44" s="12" t="s">
        <v>2506</v>
      </c>
      <c r="D44" s="12" t="s">
        <v>2548</v>
      </c>
      <c r="E44" s="16"/>
      <c r="G44" s="12" t="s">
        <v>2629</v>
      </c>
      <c r="H44" s="12" t="s">
        <v>2550</v>
      </c>
      <c r="I44" s="12" t="s">
        <v>2531</v>
      </c>
    </row>
    <row r="45" spans="1:10" ht="15" customHeight="1" x14ac:dyDescent="0.25">
      <c r="A45" s="12" t="s">
        <v>2567</v>
      </c>
      <c r="B45" s="12">
        <v>1451402</v>
      </c>
      <c r="C45" s="12" t="s">
        <v>2506</v>
      </c>
      <c r="D45" s="12" t="s">
        <v>2548</v>
      </c>
      <c r="E45" s="16"/>
      <c r="G45" s="12" t="s">
        <v>2629</v>
      </c>
      <c r="H45" s="12" t="s">
        <v>2597</v>
      </c>
      <c r="I45" s="12" t="s">
        <v>2531</v>
      </c>
    </row>
    <row r="46" spans="1:10" ht="15" customHeight="1" x14ac:dyDescent="0.25">
      <c r="A46" s="12" t="s">
        <v>2568</v>
      </c>
      <c r="B46" s="12">
        <v>1451402</v>
      </c>
      <c r="C46" s="12" t="s">
        <v>2506</v>
      </c>
      <c r="D46" s="12" t="s">
        <v>2548</v>
      </c>
      <c r="E46" s="16"/>
      <c r="G46" s="12" t="s">
        <v>2629</v>
      </c>
      <c r="H46" s="12" t="s">
        <v>2598</v>
      </c>
      <c r="I46" s="12" t="s">
        <v>2531</v>
      </c>
    </row>
    <row r="47" spans="1:10" ht="15" customHeight="1" x14ac:dyDescent="0.25">
      <c r="A47" s="12" t="s">
        <v>2570</v>
      </c>
      <c r="B47" s="12">
        <v>1551102</v>
      </c>
      <c r="C47" s="12" t="s">
        <v>2506</v>
      </c>
      <c r="D47" s="12" t="s">
        <v>2548</v>
      </c>
      <c r="E47" s="16"/>
      <c r="G47" s="12" t="s">
        <v>2629</v>
      </c>
      <c r="H47" s="12" t="s">
        <v>2606</v>
      </c>
      <c r="I47" s="12" t="s">
        <v>2619</v>
      </c>
      <c r="J47" s="12" t="s">
        <v>2615</v>
      </c>
    </row>
    <row r="48" spans="1:10" ht="15" customHeight="1" x14ac:dyDescent="0.25">
      <c r="A48" s="12" t="s">
        <v>2572</v>
      </c>
      <c r="B48" s="12">
        <v>1551102</v>
      </c>
      <c r="C48" s="12" t="s">
        <v>2506</v>
      </c>
      <c r="D48" s="12" t="s">
        <v>2548</v>
      </c>
      <c r="E48" s="16"/>
      <c r="G48" s="12" t="s">
        <v>2629</v>
      </c>
      <c r="H48" s="12" t="s">
        <v>2608</v>
      </c>
      <c r="I48" s="12" t="s">
        <v>2619</v>
      </c>
      <c r="J48" s="12" t="s">
        <v>2615</v>
      </c>
    </row>
    <row r="49" spans="1:10" ht="15" customHeight="1" x14ac:dyDescent="0.25">
      <c r="A49" s="12" t="s">
        <v>2574</v>
      </c>
      <c r="B49" s="12">
        <v>1451402</v>
      </c>
      <c r="C49" s="12" t="s">
        <v>2506</v>
      </c>
      <c r="D49" s="12" t="s">
        <v>2548</v>
      </c>
      <c r="E49" s="16"/>
      <c r="G49" s="12" t="s">
        <v>2629</v>
      </c>
      <c r="H49" s="12" t="s">
        <v>2606</v>
      </c>
      <c r="I49" s="12" t="s">
        <v>2531</v>
      </c>
      <c r="J49" s="12" t="s">
        <v>2496</v>
      </c>
    </row>
    <row r="50" spans="1:10" ht="15" customHeight="1" x14ac:dyDescent="0.25">
      <c r="A50" s="12" t="s">
        <v>2576</v>
      </c>
      <c r="B50" s="12">
        <v>1551102</v>
      </c>
      <c r="C50" s="12" t="s">
        <v>2506</v>
      </c>
      <c r="D50" s="12" t="s">
        <v>2548</v>
      </c>
      <c r="E50" s="16"/>
      <c r="G50" s="12" t="s">
        <v>2629</v>
      </c>
      <c r="H50" s="12" t="s">
        <v>2608</v>
      </c>
      <c r="I50" s="12" t="s">
        <v>2531</v>
      </c>
      <c r="J50" s="12" t="s">
        <v>2496</v>
      </c>
    </row>
    <row r="51" spans="1:10" ht="15" customHeight="1" x14ac:dyDescent="0.25">
      <c r="A51" s="12" t="s">
        <v>2577</v>
      </c>
      <c r="B51" s="12">
        <v>1551101</v>
      </c>
      <c r="C51" s="12" t="s">
        <v>2506</v>
      </c>
      <c r="D51" s="12" t="s">
        <v>2548</v>
      </c>
      <c r="E51" s="16"/>
      <c r="G51" s="12" t="s">
        <v>2629</v>
      </c>
      <c r="H51" s="12" t="s">
        <v>2609</v>
      </c>
      <c r="I51" s="12" t="s">
        <v>2531</v>
      </c>
    </row>
    <row r="52" spans="1:10" ht="15" customHeight="1" x14ac:dyDescent="0.25">
      <c r="A52" s="12" t="s">
        <v>2578</v>
      </c>
      <c r="B52" s="12">
        <v>1551101</v>
      </c>
      <c r="C52" s="12" t="s">
        <v>2506</v>
      </c>
      <c r="D52" s="12" t="s">
        <v>2548</v>
      </c>
      <c r="E52" s="16"/>
      <c r="G52" s="12" t="s">
        <v>2629</v>
      </c>
      <c r="H52" s="12" t="s">
        <v>2631</v>
      </c>
      <c r="I52" s="12" t="s">
        <v>2531</v>
      </c>
      <c r="J52" s="12">
        <v>3</v>
      </c>
    </row>
    <row r="53" spans="1:10" ht="15" customHeight="1" x14ac:dyDescent="0.25">
      <c r="A53" s="12" t="s">
        <v>2579</v>
      </c>
      <c r="B53" s="12">
        <v>1551102</v>
      </c>
      <c r="C53" s="12" t="s">
        <v>2506</v>
      </c>
      <c r="D53" s="12" t="s">
        <v>2548</v>
      </c>
      <c r="E53" s="16"/>
      <c r="G53" s="12" t="s">
        <v>2629</v>
      </c>
      <c r="H53" s="12" t="s">
        <v>2550</v>
      </c>
      <c r="I53" s="12" t="s">
        <v>2542</v>
      </c>
    </row>
    <row r="54" spans="1:10" ht="15" customHeight="1" x14ac:dyDescent="0.25">
      <c r="A54" s="12" t="s">
        <v>2581</v>
      </c>
      <c r="B54" s="12">
        <v>1451402</v>
      </c>
      <c r="C54" s="12" t="s">
        <v>2506</v>
      </c>
      <c r="D54" s="12" t="s">
        <v>2548</v>
      </c>
      <c r="E54" s="16"/>
      <c r="G54" s="12" t="s">
        <v>2629</v>
      </c>
      <c r="H54" s="12" t="s">
        <v>2608</v>
      </c>
      <c r="I54" s="12" t="s">
        <v>2632</v>
      </c>
      <c r="J54" s="12" t="s">
        <v>2504</v>
      </c>
    </row>
    <row r="55" spans="1:10" ht="15" customHeight="1" x14ac:dyDescent="0.25">
      <c r="A55" s="12" t="s">
        <v>2582</v>
      </c>
      <c r="B55" s="12">
        <v>1551102</v>
      </c>
      <c r="C55" s="12" t="s">
        <v>2506</v>
      </c>
      <c r="D55" s="12" t="s">
        <v>2548</v>
      </c>
      <c r="E55" s="16"/>
      <c r="G55" s="12" t="s">
        <v>2629</v>
      </c>
      <c r="H55" s="12" t="s">
        <v>2631</v>
      </c>
      <c r="I55" s="12" t="s">
        <v>2531</v>
      </c>
      <c r="J55" s="12">
        <v>3</v>
      </c>
    </row>
    <row r="56" spans="1:10" ht="15" customHeight="1" x14ac:dyDescent="0.25">
      <c r="A56" s="12" t="s">
        <v>2583</v>
      </c>
      <c r="B56" s="12">
        <v>1551101</v>
      </c>
      <c r="C56" s="12" t="s">
        <v>2506</v>
      </c>
      <c r="D56" s="12" t="s">
        <v>2548</v>
      </c>
      <c r="G56" s="12" t="s">
        <v>2629</v>
      </c>
      <c r="H56" s="12" t="s">
        <v>2550</v>
      </c>
      <c r="I56" s="12" t="s">
        <v>2542</v>
      </c>
    </row>
    <row r="57" spans="1:10" ht="15" customHeight="1" x14ac:dyDescent="0.25">
      <c r="A57" s="12" t="s">
        <v>2584</v>
      </c>
      <c r="B57" s="12">
        <v>1551102</v>
      </c>
      <c r="C57" s="12" t="s">
        <v>2506</v>
      </c>
      <c r="D57" s="12" t="s">
        <v>2548</v>
      </c>
      <c r="G57" s="12" t="s">
        <v>2629</v>
      </c>
      <c r="H57" s="12" t="s">
        <v>2608</v>
      </c>
      <c r="I57" s="12" t="s">
        <v>2635</v>
      </c>
      <c r="J57" s="12" t="s">
        <v>2504</v>
      </c>
    </row>
    <row r="58" spans="1:10" ht="15" customHeight="1" x14ac:dyDescent="0.25">
      <c r="A58" s="12" t="s">
        <v>2586</v>
      </c>
      <c r="B58" s="12">
        <v>1551102</v>
      </c>
      <c r="C58" s="12" t="s">
        <v>2506</v>
      </c>
      <c r="D58" s="12" t="s">
        <v>2548</v>
      </c>
      <c r="G58" s="12" t="s">
        <v>2629</v>
      </c>
      <c r="H58" s="12" t="s">
        <v>2631</v>
      </c>
      <c r="I58" s="12" t="s">
        <v>2531</v>
      </c>
      <c r="J58" s="12">
        <v>3</v>
      </c>
    </row>
    <row r="59" spans="1:10" ht="15" customHeight="1" x14ac:dyDescent="0.25">
      <c r="A59" s="12" t="s">
        <v>2590</v>
      </c>
      <c r="B59" s="12">
        <v>1551101</v>
      </c>
      <c r="C59" s="12" t="s">
        <v>2506</v>
      </c>
      <c r="D59" s="12" t="s">
        <v>2548</v>
      </c>
      <c r="G59" s="12" t="s">
        <v>2629</v>
      </c>
      <c r="H59" s="12" t="s">
        <v>2550</v>
      </c>
      <c r="I59" s="12" t="s">
        <v>2542</v>
      </c>
    </row>
    <row r="60" spans="1:10" ht="15" customHeight="1" x14ac:dyDescent="0.25">
      <c r="A60" s="12" t="s">
        <v>2591</v>
      </c>
      <c r="B60" s="12">
        <v>1551101</v>
      </c>
      <c r="C60" s="12" t="s">
        <v>2506</v>
      </c>
      <c r="D60" s="12" t="s">
        <v>2548</v>
      </c>
      <c r="G60" s="12" t="s">
        <v>2629</v>
      </c>
      <c r="H60" s="12" t="s">
        <v>2608</v>
      </c>
      <c r="I60" s="12" t="s">
        <v>2637</v>
      </c>
      <c r="J60" s="12" t="s">
        <v>2504</v>
      </c>
    </row>
    <row r="61" spans="1:10" ht="15" customHeight="1" x14ac:dyDescent="0.25">
      <c r="A61" s="12" t="s">
        <v>2593</v>
      </c>
      <c r="B61" s="12">
        <v>1551102</v>
      </c>
      <c r="C61" s="12" t="s">
        <v>2506</v>
      </c>
      <c r="D61" s="12" t="s">
        <v>2549</v>
      </c>
      <c r="G61" s="12" t="s">
        <v>2629</v>
      </c>
      <c r="H61" s="12" t="s">
        <v>2631</v>
      </c>
      <c r="I61" s="12" t="s">
        <v>2531</v>
      </c>
      <c r="J61" s="12">
        <v>3</v>
      </c>
    </row>
    <row r="62" spans="1:10" ht="15" customHeight="1" x14ac:dyDescent="0.25">
      <c r="A62" s="12" t="s">
        <v>2514</v>
      </c>
      <c r="B62" s="12">
        <v>1551102</v>
      </c>
      <c r="C62" s="12" t="s">
        <v>2595</v>
      </c>
      <c r="D62" s="12" t="s">
        <v>2549</v>
      </c>
      <c r="G62" s="12" t="s">
        <v>2629</v>
      </c>
      <c r="H62" s="12" t="s">
        <v>2550</v>
      </c>
      <c r="I62" s="12" t="s">
        <v>2542</v>
      </c>
    </row>
    <row r="63" spans="1:10" ht="15" customHeight="1" x14ac:dyDescent="0.25">
      <c r="A63" s="12" t="s">
        <v>2546</v>
      </c>
      <c r="B63" s="12">
        <v>1551102</v>
      </c>
      <c r="C63" s="12" t="s">
        <v>2616</v>
      </c>
      <c r="D63" s="12" t="s">
        <v>2549</v>
      </c>
      <c r="G63" s="12" t="s">
        <v>2629</v>
      </c>
      <c r="H63" s="12" t="s">
        <v>2600</v>
      </c>
      <c r="I63" s="12" t="s">
        <v>2505</v>
      </c>
    </row>
    <row r="64" spans="1:10" ht="15" customHeight="1" x14ac:dyDescent="0.25">
      <c r="A64" s="12" t="s">
        <v>2575</v>
      </c>
      <c r="B64" s="12">
        <v>1451402</v>
      </c>
      <c r="C64" s="12" t="s">
        <v>2621</v>
      </c>
      <c r="D64" s="12" t="s">
        <v>2626</v>
      </c>
      <c r="E64" s="13" t="s">
        <v>2625</v>
      </c>
      <c r="G64" s="12" t="s">
        <v>2644</v>
      </c>
      <c r="H64" s="12" t="s">
        <v>2596</v>
      </c>
      <c r="I64" s="12" t="s">
        <v>2553</v>
      </c>
    </row>
    <row r="65" spans="1:10" ht="15" customHeight="1" x14ac:dyDescent="0.25">
      <c r="A65" s="12" t="s">
        <v>2542</v>
      </c>
      <c r="B65" s="12">
        <v>1451402</v>
      </c>
      <c r="C65" s="12" t="s">
        <v>2621</v>
      </c>
      <c r="D65" s="12" t="s">
        <v>2626</v>
      </c>
      <c r="E65" s="13" t="s">
        <v>2628</v>
      </c>
      <c r="G65" s="12" t="s">
        <v>2644</v>
      </c>
      <c r="H65" s="12" t="s">
        <v>2550</v>
      </c>
      <c r="I65" s="12" t="s">
        <v>2571</v>
      </c>
    </row>
    <row r="66" spans="1:10" ht="15" customHeight="1" x14ac:dyDescent="0.25">
      <c r="A66" s="12" t="s">
        <v>2639</v>
      </c>
      <c r="B66" s="12">
        <v>1451402</v>
      </c>
      <c r="C66" s="12" t="s">
        <v>2629</v>
      </c>
      <c r="D66" s="12" t="s">
        <v>2640</v>
      </c>
      <c r="E66" s="13" t="s">
        <v>2633</v>
      </c>
      <c r="G66" s="12" t="s">
        <v>2644</v>
      </c>
      <c r="H66" s="12" t="s">
        <v>2597</v>
      </c>
      <c r="I66" s="12" t="s">
        <v>2571</v>
      </c>
    </row>
    <row r="67" spans="1:10" ht="15" customHeight="1" x14ac:dyDescent="0.25">
      <c r="A67" s="12" t="s">
        <v>2571</v>
      </c>
      <c r="B67" s="12">
        <v>1551102</v>
      </c>
      <c r="C67" s="12" t="s">
        <v>2644</v>
      </c>
      <c r="D67" s="12" t="s">
        <v>2549</v>
      </c>
      <c r="G67" s="12" t="s">
        <v>2644</v>
      </c>
      <c r="H67" s="12" t="s">
        <v>2598</v>
      </c>
      <c r="I67" s="12" t="s">
        <v>2571</v>
      </c>
    </row>
    <row r="68" spans="1:10" ht="15" customHeight="1" x14ac:dyDescent="0.25">
      <c r="A68" s="12" t="s">
        <v>2533</v>
      </c>
      <c r="B68" s="12">
        <v>1551102</v>
      </c>
      <c r="C68" s="12" t="s">
        <v>2657</v>
      </c>
      <c r="D68" s="12" t="s">
        <v>2549</v>
      </c>
      <c r="G68" s="12" t="s">
        <v>2644</v>
      </c>
      <c r="H68" s="12" t="s">
        <v>2606</v>
      </c>
      <c r="I68" s="12" t="s">
        <v>2612</v>
      </c>
      <c r="J68" s="12" t="s">
        <v>2615</v>
      </c>
    </row>
    <row r="69" spans="1:10" ht="15" customHeight="1" x14ac:dyDescent="0.25">
      <c r="A69" s="12" t="s">
        <v>2637</v>
      </c>
      <c r="B69" s="12">
        <v>1451402</v>
      </c>
      <c r="C69" s="12" t="s">
        <v>2657</v>
      </c>
      <c r="D69" s="12" t="s">
        <v>2626</v>
      </c>
      <c r="E69" s="13" t="s">
        <v>2659</v>
      </c>
      <c r="G69" s="12" t="s">
        <v>2644</v>
      </c>
      <c r="H69" s="12" t="s">
        <v>2608</v>
      </c>
      <c r="I69" s="12" t="s">
        <v>2612</v>
      </c>
      <c r="J69" s="12" t="s">
        <v>2615</v>
      </c>
    </row>
    <row r="70" spans="1:10" ht="15" customHeight="1" x14ac:dyDescent="0.25">
      <c r="A70" s="12" t="s">
        <v>2654</v>
      </c>
      <c r="B70" s="12">
        <v>1451402</v>
      </c>
      <c r="C70" s="12" t="s">
        <v>2657</v>
      </c>
      <c r="D70" s="12" t="s">
        <v>2626</v>
      </c>
      <c r="E70" s="13" t="s">
        <v>2660</v>
      </c>
      <c r="G70" s="12" t="s">
        <v>2644</v>
      </c>
      <c r="H70" s="12" t="s">
        <v>2606</v>
      </c>
      <c r="I70" s="12" t="s">
        <v>2587</v>
      </c>
      <c r="J70" s="12" t="s">
        <v>2496</v>
      </c>
    </row>
    <row r="71" spans="1:10" ht="15" customHeight="1" x14ac:dyDescent="0.25">
      <c r="A71" s="12" t="s">
        <v>2635</v>
      </c>
      <c r="B71" s="12">
        <v>1451402</v>
      </c>
      <c r="C71" s="12" t="s">
        <v>2657</v>
      </c>
      <c r="D71" s="12" t="s">
        <v>2626</v>
      </c>
      <c r="E71" s="13" t="s">
        <v>2659</v>
      </c>
      <c r="G71" s="12" t="s">
        <v>2644</v>
      </c>
      <c r="H71" s="12" t="s">
        <v>2608</v>
      </c>
      <c r="I71" s="12" t="s">
        <v>2587</v>
      </c>
      <c r="J71" s="12" t="s">
        <v>2496</v>
      </c>
    </row>
    <row r="72" spans="1:10" ht="15" customHeight="1" x14ac:dyDescent="0.25">
      <c r="A72" s="12" t="s">
        <v>2652</v>
      </c>
      <c r="B72" s="12">
        <v>1451402</v>
      </c>
      <c r="C72" s="12" t="s">
        <v>2657</v>
      </c>
      <c r="D72" s="12" t="s">
        <v>2626</v>
      </c>
      <c r="E72" s="13" t="s">
        <v>2660</v>
      </c>
      <c r="G72" s="12" t="s">
        <v>2644</v>
      </c>
      <c r="H72" s="12" t="s">
        <v>2609</v>
      </c>
      <c r="I72" s="12" t="s">
        <v>2587</v>
      </c>
    </row>
    <row r="73" spans="1:10" ht="15" customHeight="1" x14ac:dyDescent="0.25">
      <c r="A73" s="12" t="s">
        <v>2632</v>
      </c>
      <c r="B73" s="12">
        <v>1451402</v>
      </c>
      <c r="C73" s="12" t="s">
        <v>2657</v>
      </c>
      <c r="D73" s="12" t="s">
        <v>2626</v>
      </c>
      <c r="E73" s="13" t="s">
        <v>2659</v>
      </c>
      <c r="G73" s="12" t="s">
        <v>2644</v>
      </c>
      <c r="H73" s="12" t="s">
        <v>2631</v>
      </c>
      <c r="I73" s="12" t="s">
        <v>2587</v>
      </c>
      <c r="J73" s="12">
        <v>3</v>
      </c>
    </row>
    <row r="74" spans="1:10" ht="15" customHeight="1" x14ac:dyDescent="0.25">
      <c r="A74" s="12" t="s">
        <v>2650</v>
      </c>
      <c r="B74" s="12">
        <v>1451402</v>
      </c>
      <c r="C74" s="12" t="s">
        <v>2657</v>
      </c>
      <c r="D74" s="12" t="s">
        <v>2626</v>
      </c>
      <c r="E74" s="13" t="s">
        <v>2660</v>
      </c>
      <c r="G74" s="12" t="s">
        <v>2644</v>
      </c>
      <c r="H74" s="12" t="s">
        <v>2550</v>
      </c>
      <c r="I74" s="12" t="s">
        <v>2575</v>
      </c>
    </row>
    <row r="75" spans="1:10" ht="15" customHeight="1" x14ac:dyDescent="0.25">
      <c r="A75" s="12" t="s">
        <v>2619</v>
      </c>
      <c r="B75" s="12">
        <v>1250402</v>
      </c>
      <c r="C75" s="12" t="s">
        <v>2657</v>
      </c>
      <c r="D75" s="12" t="s">
        <v>2626</v>
      </c>
      <c r="E75" s="13" t="s">
        <v>2666</v>
      </c>
      <c r="G75" s="12" t="s">
        <v>2644</v>
      </c>
      <c r="H75" s="12" t="s">
        <v>2608</v>
      </c>
      <c r="I75" s="12" t="s">
        <v>2650</v>
      </c>
      <c r="J75" s="12" t="s">
        <v>2504</v>
      </c>
    </row>
    <row r="76" spans="1:10" ht="15" customHeight="1" x14ac:dyDescent="0.25">
      <c r="A76" s="12" t="s">
        <v>2612</v>
      </c>
      <c r="B76" s="12">
        <v>1250402</v>
      </c>
      <c r="C76" s="12" t="s">
        <v>2657</v>
      </c>
      <c r="D76" s="12" t="s">
        <v>2626</v>
      </c>
      <c r="E76" s="13" t="s">
        <v>2667</v>
      </c>
      <c r="G76" s="12" t="s">
        <v>2644</v>
      </c>
      <c r="H76" s="12" t="s">
        <v>2631</v>
      </c>
      <c r="I76" s="12" t="s">
        <v>2587</v>
      </c>
      <c r="J76" s="12">
        <v>3</v>
      </c>
    </row>
    <row r="77" spans="1:10" ht="15" customHeight="1" x14ac:dyDescent="0.25">
      <c r="A77" s="12" t="s">
        <v>2580</v>
      </c>
      <c r="B77" s="12">
        <v>1551102</v>
      </c>
      <c r="C77" s="12" t="s">
        <v>2668</v>
      </c>
      <c r="D77" s="12" t="s">
        <v>2549</v>
      </c>
      <c r="G77" s="12" t="s">
        <v>2644</v>
      </c>
      <c r="H77" s="12" t="s">
        <v>2550</v>
      </c>
      <c r="I77" s="12" t="s">
        <v>2575</v>
      </c>
    </row>
    <row r="78" spans="1:10" ht="15" customHeight="1" x14ac:dyDescent="0.25">
      <c r="A78" s="12" t="s">
        <v>2587</v>
      </c>
      <c r="B78" s="12">
        <v>1551101</v>
      </c>
      <c r="C78" s="12" t="s">
        <v>2668</v>
      </c>
      <c r="D78" s="12" t="s">
        <v>2626</v>
      </c>
      <c r="E78" s="13" t="s">
        <v>2671</v>
      </c>
      <c r="G78" s="12" t="s">
        <v>2644</v>
      </c>
      <c r="H78" s="12" t="s">
        <v>2608</v>
      </c>
      <c r="I78" s="12" t="s">
        <v>2652</v>
      </c>
      <c r="J78" s="12" t="s">
        <v>2504</v>
      </c>
    </row>
    <row r="79" spans="1:10" ht="15" customHeight="1" x14ac:dyDescent="0.25">
      <c r="A79" s="12" t="s">
        <v>2531</v>
      </c>
      <c r="B79" s="12">
        <v>1551101</v>
      </c>
      <c r="C79" s="12" t="s">
        <v>2668</v>
      </c>
      <c r="D79" s="12" t="s">
        <v>2626</v>
      </c>
      <c r="E79" s="13" t="s">
        <v>2671</v>
      </c>
      <c r="G79" s="12" t="s">
        <v>2644</v>
      </c>
      <c r="H79" s="12" t="s">
        <v>2631</v>
      </c>
      <c r="I79" s="12" t="s">
        <v>2587</v>
      </c>
      <c r="J79" s="12">
        <v>3</v>
      </c>
    </row>
    <row r="80" spans="1:10" ht="15" customHeight="1" x14ac:dyDescent="0.25">
      <c r="A80" s="12" t="s">
        <v>2672</v>
      </c>
      <c r="B80" s="12">
        <v>1250402</v>
      </c>
      <c r="C80" s="12" t="s">
        <v>2668</v>
      </c>
      <c r="D80" s="12" t="s">
        <v>2549</v>
      </c>
      <c r="G80" s="12" t="s">
        <v>2644</v>
      </c>
      <c r="H80" s="12" t="s">
        <v>2550</v>
      </c>
      <c r="I80" s="12" t="s">
        <v>2575</v>
      </c>
    </row>
    <row r="81" spans="1:10" ht="15" customHeight="1" x14ac:dyDescent="0.25">
      <c r="A81" s="12" t="s">
        <v>2589</v>
      </c>
      <c r="B81" s="12">
        <v>1451402</v>
      </c>
      <c r="C81" s="12" t="s">
        <v>2676</v>
      </c>
      <c r="D81" s="12" t="s">
        <v>2549</v>
      </c>
      <c r="E81" s="113"/>
      <c r="G81" s="12" t="s">
        <v>2644</v>
      </c>
      <c r="H81" s="12" t="s">
        <v>2608</v>
      </c>
      <c r="I81" s="12" t="s">
        <v>2654</v>
      </c>
      <c r="J81" s="12" t="s">
        <v>2504</v>
      </c>
    </row>
    <row r="82" spans="1:10" ht="15" customHeight="1" x14ac:dyDescent="0.25">
      <c r="A82" s="12" t="s">
        <v>2532</v>
      </c>
      <c r="B82" s="12">
        <v>1551102</v>
      </c>
      <c r="C82" s="12" t="s">
        <v>2682</v>
      </c>
      <c r="D82" s="12" t="s">
        <v>2607</v>
      </c>
      <c r="E82" s="13" t="s">
        <v>2727</v>
      </c>
      <c r="G82" s="12" t="s">
        <v>2644</v>
      </c>
      <c r="H82" s="12" t="s">
        <v>2600</v>
      </c>
      <c r="I82" s="12" t="s">
        <v>2553</v>
      </c>
    </row>
    <row r="83" spans="1:10" ht="15" customHeight="1" x14ac:dyDescent="0.25">
      <c r="A83" s="12" t="s">
        <v>2684</v>
      </c>
      <c r="B83" s="12">
        <v>1550403</v>
      </c>
      <c r="C83" s="12" t="s">
        <v>2682</v>
      </c>
      <c r="D83" s="12" t="s">
        <v>2549</v>
      </c>
      <c r="E83" s="113"/>
      <c r="G83" s="12" t="s">
        <v>2657</v>
      </c>
      <c r="H83" s="12" t="s">
        <v>2596</v>
      </c>
      <c r="I83" s="12" t="s">
        <v>2505</v>
      </c>
    </row>
    <row r="84" spans="1:10" ht="15" customHeight="1" x14ac:dyDescent="0.25">
      <c r="A84" s="12" t="s">
        <v>2694</v>
      </c>
      <c r="B84" s="12">
        <v>1250402</v>
      </c>
      <c r="C84" s="12" t="s">
        <v>2682</v>
      </c>
      <c r="D84" s="12" t="s">
        <v>2549</v>
      </c>
      <c r="G84" s="12" t="s">
        <v>2657</v>
      </c>
      <c r="H84" s="12" t="s">
        <v>2550</v>
      </c>
      <c r="I84" s="12" t="s">
        <v>2533</v>
      </c>
    </row>
    <row r="85" spans="1:10" ht="15" customHeight="1" x14ac:dyDescent="0.25">
      <c r="A85" s="12" t="s">
        <v>2692</v>
      </c>
      <c r="B85" s="12">
        <v>1550104</v>
      </c>
      <c r="C85" s="12" t="s">
        <v>2682</v>
      </c>
      <c r="D85" s="12" t="s">
        <v>2606</v>
      </c>
      <c r="G85" s="12" t="s">
        <v>2657</v>
      </c>
      <c r="H85" s="12" t="s">
        <v>2597</v>
      </c>
      <c r="I85" s="12" t="s">
        <v>2533</v>
      </c>
    </row>
    <row r="86" spans="1:10" ht="15" customHeight="1" x14ac:dyDescent="0.25">
      <c r="A86" s="12" t="s">
        <v>2563</v>
      </c>
      <c r="B86" s="12">
        <v>1551101</v>
      </c>
      <c r="C86" s="12" t="s">
        <v>2703</v>
      </c>
      <c r="D86" s="12" t="s">
        <v>2549</v>
      </c>
      <c r="G86" s="12" t="s">
        <v>2657</v>
      </c>
      <c r="H86" s="12" t="s">
        <v>2598</v>
      </c>
      <c r="I86" s="12" t="s">
        <v>2533</v>
      </c>
    </row>
    <row r="87" spans="1:10" ht="15" customHeight="1" x14ac:dyDescent="0.25">
      <c r="A87" s="12" t="s">
        <v>2699</v>
      </c>
      <c r="B87" s="12">
        <v>1550103</v>
      </c>
      <c r="C87" s="12" t="s">
        <v>2705</v>
      </c>
      <c r="D87" s="12" t="s">
        <v>2626</v>
      </c>
      <c r="E87" s="13" t="s">
        <v>2700</v>
      </c>
      <c r="G87" s="12" t="s">
        <v>2657</v>
      </c>
      <c r="H87" s="12" t="s">
        <v>2623</v>
      </c>
      <c r="I87" s="12" t="s">
        <v>2637</v>
      </c>
      <c r="J87" s="12" t="s">
        <v>2504</v>
      </c>
    </row>
    <row r="88" spans="1:10" ht="15" customHeight="1" x14ac:dyDescent="0.25">
      <c r="A88" s="12" t="s">
        <v>2516</v>
      </c>
      <c r="B88" s="12">
        <v>1551101</v>
      </c>
      <c r="C88" s="12" t="s">
        <v>2705</v>
      </c>
      <c r="D88" s="12" t="s">
        <v>2710</v>
      </c>
      <c r="G88" s="12" t="s">
        <v>2657</v>
      </c>
      <c r="H88" s="12" t="s">
        <v>2624</v>
      </c>
      <c r="I88" s="12" t="s">
        <v>2637</v>
      </c>
      <c r="J88" s="12" t="s">
        <v>2504</v>
      </c>
    </row>
    <row r="89" spans="1:10" ht="15" customHeight="1" x14ac:dyDescent="0.25">
      <c r="A89" s="12" t="s">
        <v>2708</v>
      </c>
      <c r="B89" s="12">
        <v>1550104</v>
      </c>
      <c r="C89" s="12" t="s">
        <v>2705</v>
      </c>
      <c r="D89" s="12" t="s">
        <v>2606</v>
      </c>
      <c r="G89" s="12" t="s">
        <v>2657</v>
      </c>
      <c r="H89" s="12" t="s">
        <v>2624</v>
      </c>
      <c r="I89" s="12" t="s">
        <v>2654</v>
      </c>
      <c r="J89" s="12" t="s">
        <v>2504</v>
      </c>
    </row>
    <row r="90" spans="1:10" ht="15" customHeight="1" x14ac:dyDescent="0.25">
      <c r="A90" s="12" t="s">
        <v>2561</v>
      </c>
      <c r="B90" s="12">
        <v>1551102</v>
      </c>
      <c r="C90" s="12" t="s">
        <v>2713</v>
      </c>
      <c r="D90" s="12" t="s">
        <v>2549</v>
      </c>
      <c r="G90" s="12" t="s">
        <v>2657</v>
      </c>
      <c r="H90" s="12" t="s">
        <v>2626</v>
      </c>
      <c r="I90" s="12" t="s">
        <v>2637</v>
      </c>
      <c r="J90" s="12" t="s">
        <v>2504</v>
      </c>
    </row>
    <row r="91" spans="1:10" ht="15" customHeight="1" x14ac:dyDescent="0.25">
      <c r="A91" s="12" t="s">
        <v>2569</v>
      </c>
      <c r="B91" s="12">
        <v>1451402</v>
      </c>
      <c r="C91" s="12" t="s">
        <v>2713</v>
      </c>
      <c r="D91" s="12" t="s">
        <v>2626</v>
      </c>
      <c r="E91" s="13" t="s">
        <v>2721</v>
      </c>
      <c r="G91" s="12" t="s">
        <v>2657</v>
      </c>
      <c r="H91" s="12" t="s">
        <v>2627</v>
      </c>
      <c r="I91" s="12" t="s">
        <v>2637</v>
      </c>
    </row>
    <row r="92" spans="1:10" ht="15" customHeight="1" x14ac:dyDescent="0.25">
      <c r="A92" s="12" t="s">
        <v>2537</v>
      </c>
      <c r="B92" s="12">
        <v>1551102</v>
      </c>
      <c r="C92" s="12" t="s">
        <v>2722</v>
      </c>
      <c r="D92" s="12" t="s">
        <v>2549</v>
      </c>
      <c r="G92" s="12" t="s">
        <v>2657</v>
      </c>
      <c r="H92" s="12" t="s">
        <v>2626</v>
      </c>
      <c r="I92" s="12" t="s">
        <v>2654</v>
      </c>
      <c r="J92" s="12" t="s">
        <v>2504</v>
      </c>
    </row>
    <row r="93" spans="1:10" ht="15" customHeight="1" x14ac:dyDescent="0.25">
      <c r="A93" s="12" t="s">
        <v>2573</v>
      </c>
      <c r="B93" s="12">
        <v>1551102</v>
      </c>
      <c r="C93" s="12" t="s">
        <v>2724</v>
      </c>
      <c r="D93" s="12" t="s">
        <v>2549</v>
      </c>
      <c r="G93" s="12" t="s">
        <v>2657</v>
      </c>
      <c r="H93" s="12" t="s">
        <v>2627</v>
      </c>
      <c r="I93" s="12" t="s">
        <v>2654</v>
      </c>
    </row>
    <row r="94" spans="1:10" ht="15" customHeight="1" x14ac:dyDescent="0.25">
      <c r="A94" s="12" t="s">
        <v>2715</v>
      </c>
      <c r="B94" s="12">
        <v>1451402</v>
      </c>
      <c r="C94" s="12" t="s">
        <v>2724</v>
      </c>
      <c r="D94" s="12" t="s">
        <v>2626</v>
      </c>
      <c r="E94" s="17" t="s">
        <v>2726</v>
      </c>
      <c r="G94" s="12" t="s">
        <v>2657</v>
      </c>
      <c r="H94" s="12" t="s">
        <v>2623</v>
      </c>
      <c r="I94" s="12" t="s">
        <v>2635</v>
      </c>
      <c r="J94" s="12" t="s">
        <v>2504</v>
      </c>
    </row>
    <row r="95" spans="1:10" ht="15" customHeight="1" x14ac:dyDescent="0.25">
      <c r="A95" s="12" t="s">
        <v>2717</v>
      </c>
      <c r="B95" s="12">
        <v>1451402</v>
      </c>
      <c r="C95" s="12" t="s">
        <v>2724</v>
      </c>
      <c r="D95" s="12" t="s">
        <v>2626</v>
      </c>
      <c r="E95" s="13" t="s">
        <v>2726</v>
      </c>
      <c r="G95" s="12" t="s">
        <v>2657</v>
      </c>
      <c r="H95" s="12" t="s">
        <v>2624</v>
      </c>
      <c r="I95" s="12" t="s">
        <v>2635</v>
      </c>
      <c r="J95" s="12" t="s">
        <v>2504</v>
      </c>
    </row>
    <row r="96" spans="1:10" ht="15" customHeight="1" x14ac:dyDescent="0.25">
      <c r="A96" s="12" t="s">
        <v>2719</v>
      </c>
      <c r="B96" s="12">
        <v>1451402</v>
      </c>
      <c r="C96" s="12" t="s">
        <v>2724</v>
      </c>
      <c r="D96" s="12" t="s">
        <v>2626</v>
      </c>
      <c r="E96" s="13" t="s">
        <v>2730</v>
      </c>
      <c r="G96" s="12" t="s">
        <v>2657</v>
      </c>
      <c r="H96" s="12" t="s">
        <v>2624</v>
      </c>
      <c r="I96" s="12" t="s">
        <v>2652</v>
      </c>
      <c r="J96" s="12" t="s">
        <v>2504</v>
      </c>
    </row>
    <row r="97" spans="1:10" ht="15" customHeight="1" x14ac:dyDescent="0.25">
      <c r="A97" s="12" t="s">
        <v>2588</v>
      </c>
      <c r="B97" s="12">
        <v>1551101</v>
      </c>
      <c r="C97" s="12" t="s">
        <v>2724</v>
      </c>
      <c r="D97" s="12" t="s">
        <v>2626</v>
      </c>
      <c r="E97" s="13" t="s">
        <v>2671</v>
      </c>
      <c r="G97" s="12" t="s">
        <v>2657</v>
      </c>
      <c r="H97" s="12" t="s">
        <v>2626</v>
      </c>
      <c r="I97" s="12" t="s">
        <v>2635</v>
      </c>
      <c r="J97" s="12" t="s">
        <v>2504</v>
      </c>
    </row>
    <row r="98" spans="1:10" ht="15" customHeight="1" x14ac:dyDescent="0.25">
      <c r="A98" s="12" t="s">
        <v>2538</v>
      </c>
      <c r="B98" s="12">
        <v>1451402</v>
      </c>
      <c r="C98" s="12" t="s">
        <v>2724</v>
      </c>
      <c r="D98" s="12" t="s">
        <v>2626</v>
      </c>
      <c r="E98" s="13" t="s">
        <v>2731</v>
      </c>
      <c r="G98" s="12" t="s">
        <v>2657</v>
      </c>
      <c r="H98" s="12" t="s">
        <v>2627</v>
      </c>
      <c r="I98" s="12" t="s">
        <v>2635</v>
      </c>
    </row>
    <row r="99" spans="1:10" ht="15" customHeight="1" x14ac:dyDescent="0.25">
      <c r="A99" s="12" t="s">
        <v>2513</v>
      </c>
      <c r="B99" s="12">
        <v>1551102</v>
      </c>
      <c r="C99" s="12" t="s">
        <v>2732</v>
      </c>
      <c r="D99" s="12" t="s">
        <v>2710</v>
      </c>
      <c r="G99" s="12" t="s">
        <v>2657</v>
      </c>
      <c r="H99" s="12" t="s">
        <v>2626</v>
      </c>
      <c r="I99" s="12" t="s">
        <v>2652</v>
      </c>
      <c r="J99" s="12" t="s">
        <v>2504</v>
      </c>
    </row>
    <row r="100" spans="1:10" ht="15" customHeight="1" x14ac:dyDescent="0.25">
      <c r="A100" s="12" t="s">
        <v>2585</v>
      </c>
      <c r="B100" s="12">
        <v>1451402</v>
      </c>
      <c r="C100" s="12" t="s">
        <v>2735</v>
      </c>
      <c r="D100" s="12" t="s">
        <v>2710</v>
      </c>
      <c r="G100" s="12" t="s">
        <v>2657</v>
      </c>
      <c r="H100" s="12" t="s">
        <v>2627</v>
      </c>
      <c r="I100" s="12" t="s">
        <v>2652</v>
      </c>
    </row>
    <row r="101" spans="1:10" ht="15" customHeight="1" x14ac:dyDescent="0.25">
      <c r="A101" s="12" t="s">
        <v>2592</v>
      </c>
      <c r="B101" s="12">
        <v>1551101</v>
      </c>
      <c r="C101" s="12" t="s">
        <v>2735</v>
      </c>
      <c r="D101" s="12" t="s">
        <v>2607</v>
      </c>
      <c r="G101" s="12" t="s">
        <v>2657</v>
      </c>
      <c r="H101" s="12" t="s">
        <v>2623</v>
      </c>
      <c r="I101" s="12" t="s">
        <v>2632</v>
      </c>
      <c r="J101" s="12" t="s">
        <v>2504</v>
      </c>
    </row>
    <row r="102" spans="1:10" ht="15" customHeight="1" x14ac:dyDescent="0.25">
      <c r="A102" s="12" t="s">
        <v>2738</v>
      </c>
      <c r="B102" s="12">
        <v>1451402</v>
      </c>
      <c r="C102" s="12" t="s">
        <v>2735</v>
      </c>
      <c r="D102" s="12" t="s">
        <v>2607</v>
      </c>
      <c r="E102" s="113" t="s">
        <v>2633</v>
      </c>
      <c r="G102" s="12" t="s">
        <v>2657</v>
      </c>
      <c r="H102" s="12" t="s">
        <v>2624</v>
      </c>
      <c r="I102" s="12" t="s">
        <v>2632</v>
      </c>
      <c r="J102" s="12" t="s">
        <v>2504</v>
      </c>
    </row>
    <row r="103" spans="1:10" ht="15" customHeight="1" x14ac:dyDescent="0.25">
      <c r="A103" s="12" t="s">
        <v>2740</v>
      </c>
      <c r="B103" s="12">
        <v>1451402</v>
      </c>
      <c r="C103" s="12" t="s">
        <v>2735</v>
      </c>
      <c r="D103" s="12" t="s">
        <v>2607</v>
      </c>
      <c r="E103" s="13" t="s">
        <v>2633</v>
      </c>
      <c r="G103" s="12" t="s">
        <v>2657</v>
      </c>
      <c r="H103" s="12" t="s">
        <v>2624</v>
      </c>
      <c r="I103" s="12" t="s">
        <v>2650</v>
      </c>
      <c r="J103" s="12" t="s">
        <v>2504</v>
      </c>
    </row>
    <row r="104" spans="1:10" ht="15" customHeight="1" x14ac:dyDescent="0.25">
      <c r="G104" s="12" t="s">
        <v>2657</v>
      </c>
      <c r="H104" s="12" t="s">
        <v>2626</v>
      </c>
      <c r="I104" s="12" t="s">
        <v>2632</v>
      </c>
      <c r="J104" s="12" t="s">
        <v>2504</v>
      </c>
    </row>
    <row r="105" spans="1:10" ht="15" customHeight="1" x14ac:dyDescent="0.25">
      <c r="G105" s="12" t="s">
        <v>2657</v>
      </c>
      <c r="H105" s="12" t="s">
        <v>2627</v>
      </c>
      <c r="I105" s="12" t="s">
        <v>2632</v>
      </c>
    </row>
    <row r="106" spans="1:10" ht="15" customHeight="1" x14ac:dyDescent="0.25">
      <c r="G106" s="12" t="s">
        <v>2657</v>
      </c>
      <c r="H106" s="12" t="s">
        <v>2626</v>
      </c>
      <c r="I106" s="12" t="s">
        <v>2650</v>
      </c>
      <c r="J106" s="12" t="s">
        <v>2504</v>
      </c>
    </row>
    <row r="107" spans="1:10" ht="15" customHeight="1" x14ac:dyDescent="0.25">
      <c r="G107" s="12" t="s">
        <v>2657</v>
      </c>
      <c r="H107" s="12" t="s">
        <v>2627</v>
      </c>
      <c r="I107" s="12" t="s">
        <v>2650</v>
      </c>
    </row>
    <row r="108" spans="1:10" ht="15" customHeight="1" x14ac:dyDescent="0.25">
      <c r="E108" s="17"/>
      <c r="G108" s="12" t="s">
        <v>2657</v>
      </c>
      <c r="H108" s="12" t="s">
        <v>2623</v>
      </c>
      <c r="I108" s="12" t="s">
        <v>2531</v>
      </c>
      <c r="J108" s="12" t="s">
        <v>2496</v>
      </c>
    </row>
    <row r="109" spans="1:10" ht="15" customHeight="1" x14ac:dyDescent="0.25">
      <c r="G109" s="12" t="s">
        <v>2657</v>
      </c>
      <c r="H109" s="12" t="s">
        <v>2624</v>
      </c>
      <c r="I109" s="12" t="s">
        <v>2531</v>
      </c>
      <c r="J109" s="12" t="s">
        <v>2496</v>
      </c>
    </row>
    <row r="110" spans="1:10" ht="15" customHeight="1" x14ac:dyDescent="0.25">
      <c r="G110" s="12" t="s">
        <v>2657</v>
      </c>
      <c r="H110" s="12" t="s">
        <v>2624</v>
      </c>
      <c r="I110" s="12" t="s">
        <v>2587</v>
      </c>
      <c r="J110" s="12" t="s">
        <v>2496</v>
      </c>
    </row>
    <row r="111" spans="1:10" ht="15" customHeight="1" x14ac:dyDescent="0.25">
      <c r="G111" s="12" t="s">
        <v>2657</v>
      </c>
      <c r="H111" s="12" t="s">
        <v>2661</v>
      </c>
      <c r="I111" s="12" t="s">
        <v>2531</v>
      </c>
    </row>
    <row r="112" spans="1:10" ht="15" customHeight="1" x14ac:dyDescent="0.25">
      <c r="G112" s="12" t="s">
        <v>2657</v>
      </c>
      <c r="H112" s="12" t="s">
        <v>2661</v>
      </c>
      <c r="I112" s="12" t="s">
        <v>2587</v>
      </c>
    </row>
    <row r="113" spans="7:10" ht="15" customHeight="1" x14ac:dyDescent="0.25">
      <c r="G113" s="12" t="s">
        <v>2657</v>
      </c>
      <c r="H113" s="12" t="s">
        <v>2662</v>
      </c>
      <c r="I113" s="12" t="s">
        <v>2531</v>
      </c>
      <c r="J113" s="12" t="s">
        <v>2663</v>
      </c>
    </row>
    <row r="114" spans="7:10" ht="15" customHeight="1" x14ac:dyDescent="0.25">
      <c r="G114" s="12" t="s">
        <v>2657</v>
      </c>
      <c r="H114" s="12" t="s">
        <v>2662</v>
      </c>
      <c r="I114" s="12" t="s">
        <v>2587</v>
      </c>
      <c r="J114" s="12" t="s">
        <v>2663</v>
      </c>
    </row>
    <row r="115" spans="7:10" ht="15" customHeight="1" x14ac:dyDescent="0.25">
      <c r="G115" s="12" t="s">
        <v>2657</v>
      </c>
      <c r="H115" s="12" t="s">
        <v>2610</v>
      </c>
      <c r="I115" s="12" t="s">
        <v>2531</v>
      </c>
      <c r="J115" s="12">
        <v>4</v>
      </c>
    </row>
    <row r="116" spans="7:10" ht="15" customHeight="1" x14ac:dyDescent="0.25">
      <c r="G116" s="12" t="s">
        <v>2657</v>
      </c>
      <c r="H116" s="12" t="s">
        <v>2610</v>
      </c>
      <c r="I116" s="12" t="s">
        <v>2531</v>
      </c>
      <c r="J116" s="12">
        <v>4</v>
      </c>
    </row>
    <row r="117" spans="7:10" ht="15" customHeight="1" x14ac:dyDescent="0.25">
      <c r="G117" s="12" t="s">
        <v>2657</v>
      </c>
      <c r="H117" s="12" t="s">
        <v>2623</v>
      </c>
      <c r="I117" s="12" t="s">
        <v>2619</v>
      </c>
      <c r="J117" s="12" t="s">
        <v>2615</v>
      </c>
    </row>
    <row r="118" spans="7:10" ht="15" customHeight="1" x14ac:dyDescent="0.25">
      <c r="G118" s="12" t="s">
        <v>2657</v>
      </c>
      <c r="H118" s="12" t="s">
        <v>2624</v>
      </c>
      <c r="I118" s="12" t="s">
        <v>2619</v>
      </c>
      <c r="J118" s="12" t="s">
        <v>2615</v>
      </c>
    </row>
    <row r="119" spans="7:10" ht="15" customHeight="1" x14ac:dyDescent="0.25">
      <c r="G119" s="12" t="s">
        <v>2657</v>
      </c>
      <c r="H119" s="12" t="s">
        <v>2624</v>
      </c>
      <c r="I119" s="12" t="s">
        <v>2612</v>
      </c>
      <c r="J119" s="12" t="s">
        <v>2615</v>
      </c>
    </row>
    <row r="120" spans="7:10" ht="15" customHeight="1" x14ac:dyDescent="0.25">
      <c r="G120" s="12" t="s">
        <v>2657</v>
      </c>
      <c r="H120" s="12" t="s">
        <v>2626</v>
      </c>
      <c r="I120" s="12" t="s">
        <v>2619</v>
      </c>
      <c r="J120" s="12" t="s">
        <v>2615</v>
      </c>
    </row>
    <row r="121" spans="7:10" ht="15" customHeight="1" x14ac:dyDescent="0.25">
      <c r="G121" s="12" t="s">
        <v>2657</v>
      </c>
      <c r="H121" s="12" t="s">
        <v>2627</v>
      </c>
      <c r="I121" s="12" t="s">
        <v>2619</v>
      </c>
    </row>
    <row r="122" spans="7:10" ht="15" customHeight="1" x14ac:dyDescent="0.25">
      <c r="G122" s="12" t="s">
        <v>2657</v>
      </c>
      <c r="H122" s="12" t="s">
        <v>2626</v>
      </c>
      <c r="I122" s="12" t="s">
        <v>2612</v>
      </c>
      <c r="J122" s="12" t="s">
        <v>2615</v>
      </c>
    </row>
    <row r="123" spans="7:10" ht="15" customHeight="1" x14ac:dyDescent="0.25">
      <c r="G123" s="12" t="s">
        <v>2657</v>
      </c>
      <c r="H123" s="12" t="s">
        <v>2627</v>
      </c>
      <c r="I123" s="12" t="s">
        <v>2612</v>
      </c>
    </row>
    <row r="124" spans="7:10" ht="15" customHeight="1" x14ac:dyDescent="0.25">
      <c r="G124" s="12" t="s">
        <v>2657</v>
      </c>
      <c r="H124" s="12" t="s">
        <v>2600</v>
      </c>
      <c r="I124" s="12" t="s">
        <v>2505</v>
      </c>
    </row>
    <row r="125" spans="7:10" ht="15" customHeight="1" x14ac:dyDescent="0.25">
      <c r="G125" s="12" t="s">
        <v>2668</v>
      </c>
      <c r="H125" s="12" t="s">
        <v>2596</v>
      </c>
      <c r="I125" s="12" t="s">
        <v>2553</v>
      </c>
    </row>
    <row r="126" spans="7:10" ht="15" customHeight="1" x14ac:dyDescent="0.25">
      <c r="G126" s="12" t="s">
        <v>2668</v>
      </c>
      <c r="H126" s="12" t="s">
        <v>2550</v>
      </c>
      <c r="I126" s="12" t="s">
        <v>2580</v>
      </c>
    </row>
    <row r="127" spans="7:10" ht="15" customHeight="1" x14ac:dyDescent="0.25">
      <c r="G127" s="12" t="s">
        <v>2668</v>
      </c>
      <c r="H127" s="12" t="s">
        <v>2597</v>
      </c>
      <c r="I127" s="12" t="s">
        <v>2580</v>
      </c>
    </row>
    <row r="128" spans="7:10" ht="15" customHeight="1" x14ac:dyDescent="0.25">
      <c r="G128" s="12" t="s">
        <v>2668</v>
      </c>
      <c r="H128" s="12" t="s">
        <v>2598</v>
      </c>
      <c r="I128" s="12" t="s">
        <v>2580</v>
      </c>
    </row>
    <row r="129" spans="7:10" ht="15" customHeight="1" x14ac:dyDescent="0.25">
      <c r="G129" s="12" t="s">
        <v>2668</v>
      </c>
      <c r="H129" s="12" t="s">
        <v>2623</v>
      </c>
      <c r="I129" s="12" t="s">
        <v>2587</v>
      </c>
      <c r="J129" s="12" t="s">
        <v>2496</v>
      </c>
    </row>
    <row r="130" spans="7:10" ht="15" customHeight="1" x14ac:dyDescent="0.25">
      <c r="G130" s="12" t="s">
        <v>2668</v>
      </c>
      <c r="H130" s="12" t="s">
        <v>2624</v>
      </c>
      <c r="I130" s="12" t="s">
        <v>2587</v>
      </c>
      <c r="J130" s="12" t="s">
        <v>2496</v>
      </c>
    </row>
    <row r="131" spans="7:10" ht="15" customHeight="1" x14ac:dyDescent="0.25">
      <c r="G131" s="12" t="s">
        <v>2668</v>
      </c>
      <c r="H131" s="12" t="s">
        <v>2624</v>
      </c>
      <c r="I131" s="12" t="s">
        <v>2531</v>
      </c>
      <c r="J131" s="12" t="s">
        <v>2496</v>
      </c>
    </row>
    <row r="132" spans="7:10" ht="15" customHeight="1" x14ac:dyDescent="0.25">
      <c r="G132" s="12" t="s">
        <v>2668</v>
      </c>
      <c r="H132" s="12" t="s">
        <v>2661</v>
      </c>
      <c r="I132" s="12" t="s">
        <v>2587</v>
      </c>
    </row>
    <row r="133" spans="7:10" ht="15" customHeight="1" x14ac:dyDescent="0.25">
      <c r="G133" s="12" t="s">
        <v>2668</v>
      </c>
      <c r="H133" s="12" t="s">
        <v>2661</v>
      </c>
      <c r="I133" s="12" t="s">
        <v>2531</v>
      </c>
    </row>
    <row r="134" spans="7:10" ht="15" customHeight="1" x14ac:dyDescent="0.25">
      <c r="G134" s="12" t="s">
        <v>2668</v>
      </c>
      <c r="H134" s="12" t="s">
        <v>2626</v>
      </c>
      <c r="I134" s="12" t="s">
        <v>2587</v>
      </c>
      <c r="J134" s="12" t="s">
        <v>2496</v>
      </c>
    </row>
    <row r="135" spans="7:10" ht="15" customHeight="1" x14ac:dyDescent="0.25">
      <c r="G135" s="12" t="s">
        <v>2668</v>
      </c>
      <c r="H135" s="12" t="s">
        <v>2627</v>
      </c>
      <c r="I135" s="12" t="s">
        <v>2587</v>
      </c>
    </row>
    <row r="136" spans="7:10" ht="15" customHeight="1" x14ac:dyDescent="0.25">
      <c r="G136" s="12" t="s">
        <v>2668</v>
      </c>
      <c r="H136" s="12" t="s">
        <v>2626</v>
      </c>
      <c r="I136" s="12" t="s">
        <v>2531</v>
      </c>
      <c r="J136" s="12" t="s">
        <v>2496</v>
      </c>
    </row>
    <row r="137" spans="7:10" ht="15" customHeight="1" x14ac:dyDescent="0.25">
      <c r="G137" s="12" t="s">
        <v>2668</v>
      </c>
      <c r="H137" s="12" t="s">
        <v>2627</v>
      </c>
      <c r="I137" s="12" t="s">
        <v>2531</v>
      </c>
    </row>
    <row r="138" spans="7:10" ht="15" customHeight="1" x14ac:dyDescent="0.25">
      <c r="G138" s="12" t="s">
        <v>2668</v>
      </c>
      <c r="H138" s="12" t="s">
        <v>2606</v>
      </c>
      <c r="I138" s="12" t="s">
        <v>2569</v>
      </c>
      <c r="J138" s="12" t="s">
        <v>2504</v>
      </c>
    </row>
    <row r="139" spans="7:10" ht="15" customHeight="1" x14ac:dyDescent="0.25">
      <c r="G139" s="12" t="s">
        <v>2668</v>
      </c>
      <c r="H139" s="12" t="s">
        <v>2608</v>
      </c>
      <c r="I139" s="12" t="s">
        <v>2569</v>
      </c>
      <c r="J139" s="12" t="s">
        <v>2504</v>
      </c>
    </row>
    <row r="140" spans="7:10" ht="15" customHeight="1" x14ac:dyDescent="0.25">
      <c r="G140" s="12" t="s">
        <v>2668</v>
      </c>
      <c r="H140" s="12" t="s">
        <v>2609</v>
      </c>
      <c r="I140" s="12" t="s">
        <v>2569</v>
      </c>
    </row>
    <row r="141" spans="7:10" ht="15" customHeight="1" x14ac:dyDescent="0.25">
      <c r="G141" s="12" t="s">
        <v>2668</v>
      </c>
      <c r="H141" s="12" t="s">
        <v>2610</v>
      </c>
      <c r="I141" s="12" t="s">
        <v>2553</v>
      </c>
      <c r="J141" s="12">
        <v>2</v>
      </c>
    </row>
    <row r="142" spans="7:10" ht="15" customHeight="1" x14ac:dyDescent="0.25">
      <c r="G142" s="12" t="s">
        <v>2668</v>
      </c>
      <c r="H142" s="12" t="s">
        <v>2597</v>
      </c>
      <c r="I142" s="12" t="s">
        <v>2672</v>
      </c>
    </row>
    <row r="143" spans="7:10" ht="15" customHeight="1" x14ac:dyDescent="0.25">
      <c r="G143" s="12" t="s">
        <v>2668</v>
      </c>
      <c r="H143" s="12" t="s">
        <v>2600</v>
      </c>
      <c r="I143" s="12" t="s">
        <v>2553</v>
      </c>
    </row>
    <row r="144" spans="7:10" ht="15" customHeight="1" x14ac:dyDescent="0.25">
      <c r="G144" s="12" t="s">
        <v>2674</v>
      </c>
      <c r="H144" s="12" t="s">
        <v>2596</v>
      </c>
      <c r="I144" s="12" t="s">
        <v>2505</v>
      </c>
    </row>
    <row r="145" spans="7:10" ht="15" customHeight="1" x14ac:dyDescent="0.25">
      <c r="G145" s="12" t="s">
        <v>2674</v>
      </c>
      <c r="H145" s="12" t="s">
        <v>2550</v>
      </c>
      <c r="I145" s="12" t="s">
        <v>2538</v>
      </c>
    </row>
    <row r="146" spans="7:10" ht="15" customHeight="1" x14ac:dyDescent="0.25">
      <c r="G146" s="12" t="s">
        <v>2674</v>
      </c>
      <c r="H146" s="12" t="s">
        <v>2597</v>
      </c>
      <c r="I146" s="12" t="s">
        <v>2538</v>
      </c>
    </row>
    <row r="147" spans="7:10" ht="15" customHeight="1" x14ac:dyDescent="0.25">
      <c r="G147" s="12" t="s">
        <v>2674</v>
      </c>
      <c r="H147" s="12" t="s">
        <v>2598</v>
      </c>
      <c r="I147" s="12" t="s">
        <v>2538</v>
      </c>
    </row>
    <row r="148" spans="7:10" ht="15" customHeight="1" x14ac:dyDescent="0.25">
      <c r="G148" s="12" t="s">
        <v>2674</v>
      </c>
      <c r="H148" s="12" t="s">
        <v>2600</v>
      </c>
      <c r="I148" s="12" t="s">
        <v>2505</v>
      </c>
    </row>
    <row r="149" spans="7:10" ht="15" customHeight="1" x14ac:dyDescent="0.25">
      <c r="G149" s="12" t="s">
        <v>2676</v>
      </c>
      <c r="H149" s="12" t="s">
        <v>2596</v>
      </c>
      <c r="I149" s="12" t="s">
        <v>2553</v>
      </c>
    </row>
    <row r="150" spans="7:10" ht="15" customHeight="1" x14ac:dyDescent="0.25">
      <c r="G150" s="12" t="s">
        <v>2676</v>
      </c>
      <c r="H150" s="12" t="s">
        <v>2550</v>
      </c>
      <c r="I150" s="12" t="s">
        <v>2589</v>
      </c>
    </row>
    <row r="151" spans="7:10" ht="15" customHeight="1" x14ac:dyDescent="0.25">
      <c r="G151" s="12" t="s">
        <v>2676</v>
      </c>
      <c r="H151" s="12" t="s">
        <v>2597</v>
      </c>
      <c r="I151" s="12" t="s">
        <v>2589</v>
      </c>
    </row>
    <row r="152" spans="7:10" ht="15" customHeight="1" x14ac:dyDescent="0.25">
      <c r="G152" s="12" t="s">
        <v>2676</v>
      </c>
      <c r="H152" s="12" t="s">
        <v>2598</v>
      </c>
      <c r="I152" s="12" t="s">
        <v>2589</v>
      </c>
    </row>
    <row r="153" spans="7:10" ht="15" customHeight="1" x14ac:dyDescent="0.25">
      <c r="G153" s="12" t="s">
        <v>2676</v>
      </c>
      <c r="H153" s="12" t="s">
        <v>2678</v>
      </c>
      <c r="I153" s="12" t="s">
        <v>2569</v>
      </c>
      <c r="J153" s="12" t="s">
        <v>2679</v>
      </c>
    </row>
    <row r="154" spans="7:10" ht="15" customHeight="1" x14ac:dyDescent="0.25">
      <c r="G154" s="12" t="s">
        <v>2676</v>
      </c>
      <c r="H154" s="12" t="s">
        <v>2662</v>
      </c>
      <c r="I154" s="12" t="s">
        <v>2569</v>
      </c>
      <c r="J154" s="12" t="s">
        <v>2679</v>
      </c>
    </row>
    <row r="155" spans="7:10" ht="15" customHeight="1" x14ac:dyDescent="0.25">
      <c r="G155" s="12" t="s">
        <v>2676</v>
      </c>
      <c r="H155" s="12" t="s">
        <v>2681</v>
      </c>
      <c r="I155" s="12" t="s">
        <v>2569</v>
      </c>
      <c r="J155" s="12" t="s">
        <v>2504</v>
      </c>
    </row>
    <row r="156" spans="7:10" ht="15" customHeight="1" x14ac:dyDescent="0.25">
      <c r="G156" s="12" t="s">
        <v>2676</v>
      </c>
      <c r="H156" s="12" t="s">
        <v>2623</v>
      </c>
      <c r="I156" s="12" t="s">
        <v>2569</v>
      </c>
      <c r="J156" s="12" t="s">
        <v>2504</v>
      </c>
    </row>
    <row r="157" spans="7:10" ht="15" customHeight="1" x14ac:dyDescent="0.25">
      <c r="G157" s="12" t="s">
        <v>2676</v>
      </c>
      <c r="H157" s="12" t="s">
        <v>2600</v>
      </c>
      <c r="I157" s="12" t="s">
        <v>2553</v>
      </c>
    </row>
    <row r="158" spans="7:10" ht="15" customHeight="1" x14ac:dyDescent="0.25">
      <c r="G158" s="12" t="s">
        <v>2682</v>
      </c>
      <c r="H158" s="12" t="s">
        <v>2596</v>
      </c>
      <c r="I158" s="12" t="s">
        <v>2505</v>
      </c>
    </row>
    <row r="159" spans="7:10" ht="15" customHeight="1" x14ac:dyDescent="0.25">
      <c r="G159" s="12" t="s">
        <v>2682</v>
      </c>
      <c r="H159" s="12" t="s">
        <v>2550</v>
      </c>
      <c r="I159" s="12" t="s">
        <v>2532</v>
      </c>
    </row>
    <row r="160" spans="7:10" ht="15" customHeight="1" x14ac:dyDescent="0.25">
      <c r="G160" s="12" t="s">
        <v>2682</v>
      </c>
      <c r="H160" s="12" t="s">
        <v>2597</v>
      </c>
      <c r="I160" s="12" t="s">
        <v>2532</v>
      </c>
    </row>
    <row r="161" spans="7:10" ht="15" customHeight="1" x14ac:dyDescent="0.25">
      <c r="G161" s="12" t="s">
        <v>2682</v>
      </c>
      <c r="H161" s="12" t="s">
        <v>2598</v>
      </c>
      <c r="I161" s="12" t="s">
        <v>2532</v>
      </c>
    </row>
    <row r="162" spans="7:10" ht="15" customHeight="1" x14ac:dyDescent="0.25">
      <c r="G162" s="12" t="s">
        <v>2682</v>
      </c>
      <c r="H162" s="12" t="s">
        <v>2606</v>
      </c>
      <c r="I162" s="12" t="s">
        <v>2532</v>
      </c>
      <c r="J162" s="12" t="s">
        <v>2495</v>
      </c>
    </row>
    <row r="163" spans="7:10" ht="15" customHeight="1" x14ac:dyDescent="0.25">
      <c r="G163" s="12" t="s">
        <v>2682</v>
      </c>
      <c r="H163" s="12" t="s">
        <v>2608</v>
      </c>
      <c r="I163" s="12" t="s">
        <v>2532</v>
      </c>
      <c r="J163" s="12" t="s">
        <v>2495</v>
      </c>
    </row>
    <row r="164" spans="7:10" ht="15" customHeight="1" x14ac:dyDescent="0.25">
      <c r="G164" s="12" t="s">
        <v>2682</v>
      </c>
      <c r="H164" s="12" t="s">
        <v>2609</v>
      </c>
      <c r="I164" s="12" t="s">
        <v>2532</v>
      </c>
    </row>
    <row r="165" spans="7:10" ht="15" customHeight="1" x14ac:dyDescent="0.25">
      <c r="G165" s="12" t="s">
        <v>2682</v>
      </c>
      <c r="H165" s="12" t="s">
        <v>2597</v>
      </c>
      <c r="I165" s="12" t="s">
        <v>2684</v>
      </c>
    </row>
    <row r="166" spans="7:10" ht="15" customHeight="1" x14ac:dyDescent="0.25">
      <c r="G166" s="12" t="s">
        <v>2682</v>
      </c>
      <c r="H166" s="12" t="s">
        <v>2678</v>
      </c>
      <c r="I166" s="12" t="s">
        <v>2532</v>
      </c>
      <c r="J166" s="12" t="s">
        <v>2687</v>
      </c>
    </row>
    <row r="167" spans="7:10" ht="15" customHeight="1" x14ac:dyDescent="0.25">
      <c r="G167" s="12" t="s">
        <v>2682</v>
      </c>
      <c r="H167" s="12" t="s">
        <v>2662</v>
      </c>
      <c r="I167" s="12" t="s">
        <v>2532</v>
      </c>
      <c r="J167" s="12" t="s">
        <v>2687</v>
      </c>
    </row>
    <row r="168" spans="7:10" ht="15" customHeight="1" x14ac:dyDescent="0.25">
      <c r="G168" s="12" t="s">
        <v>2682</v>
      </c>
      <c r="H168" s="12" t="s">
        <v>2681</v>
      </c>
      <c r="I168" s="12" t="s">
        <v>2532</v>
      </c>
      <c r="J168" s="12" t="s">
        <v>2495</v>
      </c>
    </row>
    <row r="169" spans="7:10" ht="15" customHeight="1" x14ac:dyDescent="0.25">
      <c r="G169" s="12" t="s">
        <v>2682</v>
      </c>
      <c r="H169" s="12" t="s">
        <v>2689</v>
      </c>
      <c r="I169" s="12" t="s">
        <v>2532</v>
      </c>
      <c r="J169" s="12" t="s">
        <v>2495</v>
      </c>
    </row>
    <row r="170" spans="7:10" ht="15" customHeight="1" x14ac:dyDescent="0.25">
      <c r="G170" s="12" t="s">
        <v>2682</v>
      </c>
      <c r="H170" s="12" t="s">
        <v>2690</v>
      </c>
      <c r="I170" s="12" t="s">
        <v>2532</v>
      </c>
    </row>
    <row r="171" spans="7:10" ht="15" customHeight="1" x14ac:dyDescent="0.25">
      <c r="G171" s="12" t="s">
        <v>2682</v>
      </c>
      <c r="H171" s="12" t="s">
        <v>2691</v>
      </c>
      <c r="I171" s="12" t="s">
        <v>2532</v>
      </c>
      <c r="J171" s="12">
        <v>6</v>
      </c>
    </row>
    <row r="172" spans="7:10" ht="15" customHeight="1" x14ac:dyDescent="0.25">
      <c r="G172" s="12" t="s">
        <v>2682</v>
      </c>
      <c r="H172" s="12" t="s">
        <v>2597</v>
      </c>
      <c r="I172" s="12" t="s">
        <v>2692</v>
      </c>
    </row>
    <row r="173" spans="7:10" ht="15" customHeight="1" x14ac:dyDescent="0.25">
      <c r="G173" s="12" t="s">
        <v>2682</v>
      </c>
      <c r="H173" s="12" t="s">
        <v>2606</v>
      </c>
      <c r="I173" s="12" t="s">
        <v>2538</v>
      </c>
      <c r="J173" s="12" t="s">
        <v>2504</v>
      </c>
    </row>
    <row r="174" spans="7:10" ht="15" customHeight="1" x14ac:dyDescent="0.25">
      <c r="G174" s="12" t="s">
        <v>2682</v>
      </c>
      <c r="H174" s="12" t="s">
        <v>2608</v>
      </c>
      <c r="I174" s="12" t="s">
        <v>2538</v>
      </c>
      <c r="J174" s="12" t="s">
        <v>2504</v>
      </c>
    </row>
    <row r="175" spans="7:10" ht="15" customHeight="1" x14ac:dyDescent="0.25">
      <c r="G175" s="12" t="s">
        <v>2682</v>
      </c>
      <c r="H175" s="12" t="s">
        <v>2609</v>
      </c>
      <c r="I175" s="12" t="s">
        <v>2538</v>
      </c>
    </row>
    <row r="176" spans="7:10" ht="15" customHeight="1" x14ac:dyDescent="0.25">
      <c r="G176" s="12" t="s">
        <v>2682</v>
      </c>
      <c r="H176" s="12" t="s">
        <v>2610</v>
      </c>
      <c r="I176" s="12" t="s">
        <v>2505</v>
      </c>
      <c r="J176" s="12">
        <v>2</v>
      </c>
    </row>
    <row r="177" spans="7:10" ht="15" customHeight="1" x14ac:dyDescent="0.25">
      <c r="G177" s="12" t="s">
        <v>2682</v>
      </c>
      <c r="H177" s="12" t="s">
        <v>2597</v>
      </c>
      <c r="I177" s="12" t="s">
        <v>2694</v>
      </c>
    </row>
    <row r="178" spans="7:10" ht="15" customHeight="1" x14ac:dyDescent="0.25">
      <c r="G178" s="12" t="s">
        <v>2682</v>
      </c>
      <c r="H178" s="12" t="s">
        <v>2606</v>
      </c>
      <c r="I178" s="12" t="s">
        <v>2692</v>
      </c>
      <c r="J178" s="12" t="s">
        <v>2499</v>
      </c>
    </row>
    <row r="179" spans="7:10" ht="15" customHeight="1" x14ac:dyDescent="0.25">
      <c r="G179" s="12" t="s">
        <v>2682</v>
      </c>
      <c r="H179" s="12" t="s">
        <v>2696</v>
      </c>
      <c r="I179" s="12" t="s">
        <v>2532</v>
      </c>
    </row>
    <row r="180" spans="7:10" ht="15" customHeight="1" x14ac:dyDescent="0.25">
      <c r="G180" s="12" t="s">
        <v>2682</v>
      </c>
      <c r="H180" s="12" t="s">
        <v>2678</v>
      </c>
      <c r="I180" s="12" t="s">
        <v>2532</v>
      </c>
      <c r="J180" s="12" t="s">
        <v>2679</v>
      </c>
    </row>
    <row r="181" spans="7:10" ht="15" customHeight="1" x14ac:dyDescent="0.25">
      <c r="G181" s="12" t="s">
        <v>2682</v>
      </c>
      <c r="H181" s="12" t="s">
        <v>2662</v>
      </c>
      <c r="I181" s="12" t="s">
        <v>2532</v>
      </c>
      <c r="J181" s="12" t="s">
        <v>2679</v>
      </c>
    </row>
    <row r="182" spans="7:10" ht="15" customHeight="1" x14ac:dyDescent="0.25">
      <c r="G182" s="12" t="s">
        <v>2682</v>
      </c>
      <c r="H182" s="12" t="s">
        <v>2662</v>
      </c>
      <c r="I182" s="12" t="s">
        <v>2532</v>
      </c>
      <c r="J182" s="12" t="s">
        <v>2698</v>
      </c>
    </row>
    <row r="183" spans="7:10" ht="15" customHeight="1" x14ac:dyDescent="0.25">
      <c r="G183" s="12" t="s">
        <v>2682</v>
      </c>
      <c r="H183" s="12" t="s">
        <v>2608</v>
      </c>
      <c r="I183" s="12" t="s">
        <v>2699</v>
      </c>
      <c r="J183" s="12" t="s">
        <v>2701</v>
      </c>
    </row>
    <row r="184" spans="7:10" ht="15" customHeight="1" x14ac:dyDescent="0.25">
      <c r="G184" s="12" t="s">
        <v>2682</v>
      </c>
      <c r="H184" s="12" t="s">
        <v>2600</v>
      </c>
      <c r="I184" s="12" t="s">
        <v>2505</v>
      </c>
    </row>
    <row r="185" spans="7:10" ht="15" customHeight="1" x14ac:dyDescent="0.25">
      <c r="G185" s="12" t="s">
        <v>2703</v>
      </c>
      <c r="H185" s="12" t="s">
        <v>2596</v>
      </c>
      <c r="I185" s="12" t="s">
        <v>2553</v>
      </c>
    </row>
    <row r="186" spans="7:10" ht="15" customHeight="1" x14ac:dyDescent="0.25">
      <c r="G186" s="12" t="s">
        <v>2703</v>
      </c>
      <c r="H186" s="12" t="s">
        <v>2550</v>
      </c>
      <c r="I186" s="12" t="s">
        <v>2563</v>
      </c>
    </row>
    <row r="187" spans="7:10" ht="15" customHeight="1" x14ac:dyDescent="0.25">
      <c r="G187" s="12" t="s">
        <v>2703</v>
      </c>
      <c r="H187" s="12" t="s">
        <v>2597</v>
      </c>
      <c r="I187" s="12" t="s">
        <v>2563</v>
      </c>
    </row>
    <row r="188" spans="7:10" ht="15" customHeight="1" x14ac:dyDescent="0.25">
      <c r="G188" s="12" t="s">
        <v>2703</v>
      </c>
      <c r="H188" s="12" t="s">
        <v>2598</v>
      </c>
      <c r="I188" s="12" t="s">
        <v>2563</v>
      </c>
    </row>
    <row r="189" spans="7:10" ht="15" customHeight="1" x14ac:dyDescent="0.25">
      <c r="G189" s="12" t="s">
        <v>2703</v>
      </c>
      <c r="H189" s="12" t="s">
        <v>2600</v>
      </c>
      <c r="I189" s="12" t="s">
        <v>2553</v>
      </c>
    </row>
    <row r="190" spans="7:10" ht="15" customHeight="1" x14ac:dyDescent="0.25">
      <c r="G190" s="12" t="s">
        <v>2705</v>
      </c>
      <c r="H190" s="12" t="s">
        <v>2596</v>
      </c>
      <c r="I190" s="12" t="s">
        <v>2505</v>
      </c>
    </row>
    <row r="191" spans="7:10" ht="15" customHeight="1" x14ac:dyDescent="0.25">
      <c r="G191" s="12" t="s">
        <v>2705</v>
      </c>
      <c r="H191" s="12" t="s">
        <v>2626</v>
      </c>
      <c r="I191" s="12" t="s">
        <v>2699</v>
      </c>
      <c r="J191" s="12" t="s">
        <v>2701</v>
      </c>
    </row>
    <row r="192" spans="7:10" ht="15" customHeight="1" x14ac:dyDescent="0.25">
      <c r="G192" s="12" t="s">
        <v>2705</v>
      </c>
      <c r="H192" s="12" t="s">
        <v>2627</v>
      </c>
      <c r="I192" s="12" t="s">
        <v>2699</v>
      </c>
    </row>
    <row r="193" spans="7:10" ht="15" customHeight="1" x14ac:dyDescent="0.25">
      <c r="G193" s="12" t="s">
        <v>2705</v>
      </c>
      <c r="H193" s="12" t="s">
        <v>2706</v>
      </c>
      <c r="I193" s="12" t="s">
        <v>2699</v>
      </c>
    </row>
    <row r="194" spans="7:10" ht="15" customHeight="1" x14ac:dyDescent="0.25">
      <c r="G194" s="12" t="s">
        <v>2705</v>
      </c>
      <c r="H194" s="12" t="s">
        <v>2597</v>
      </c>
      <c r="I194" s="12" t="s">
        <v>2708</v>
      </c>
    </row>
    <row r="195" spans="7:10" ht="15" customHeight="1" x14ac:dyDescent="0.25">
      <c r="G195" s="12" t="s">
        <v>2705</v>
      </c>
      <c r="H195" s="12" t="s">
        <v>2550</v>
      </c>
      <c r="I195" s="12" t="s">
        <v>2516</v>
      </c>
    </row>
    <row r="196" spans="7:10" ht="15" customHeight="1" x14ac:dyDescent="0.25">
      <c r="G196" s="12" t="s">
        <v>2705</v>
      </c>
      <c r="H196" s="12" t="s">
        <v>2710</v>
      </c>
      <c r="I196" s="12" t="s">
        <v>2516</v>
      </c>
      <c r="J196" s="12" t="s">
        <v>2496</v>
      </c>
    </row>
    <row r="197" spans="7:10" ht="15" customHeight="1" x14ac:dyDescent="0.25">
      <c r="G197" s="12" t="s">
        <v>2705</v>
      </c>
      <c r="H197" s="12" t="s">
        <v>2606</v>
      </c>
      <c r="I197" s="12" t="s">
        <v>2708</v>
      </c>
      <c r="J197" s="12" t="s">
        <v>2499</v>
      </c>
    </row>
    <row r="198" spans="7:10" ht="15" customHeight="1" x14ac:dyDescent="0.25">
      <c r="G198" s="12" t="s">
        <v>2705</v>
      </c>
      <c r="H198" s="12" t="s">
        <v>2696</v>
      </c>
      <c r="I198" s="12" t="s">
        <v>2538</v>
      </c>
    </row>
    <row r="199" spans="7:10" ht="15" customHeight="1" x14ac:dyDescent="0.25">
      <c r="G199" s="12" t="s">
        <v>2705</v>
      </c>
      <c r="H199" s="12" t="s">
        <v>2678</v>
      </c>
      <c r="I199" s="12" t="s">
        <v>2538</v>
      </c>
      <c r="J199" s="12" t="s">
        <v>2679</v>
      </c>
    </row>
    <row r="200" spans="7:10" ht="15" customHeight="1" x14ac:dyDescent="0.25">
      <c r="G200" s="12" t="s">
        <v>2705</v>
      </c>
      <c r="H200" s="12" t="s">
        <v>2662</v>
      </c>
      <c r="I200" s="12" t="s">
        <v>2538</v>
      </c>
      <c r="J200" s="12" t="s">
        <v>2679</v>
      </c>
    </row>
    <row r="201" spans="7:10" ht="15" customHeight="1" x14ac:dyDescent="0.25">
      <c r="G201" s="12" t="s">
        <v>2705</v>
      </c>
      <c r="H201" s="12" t="s">
        <v>2662</v>
      </c>
      <c r="I201" s="12" t="s">
        <v>2538</v>
      </c>
      <c r="J201" s="12" t="s">
        <v>2698</v>
      </c>
    </row>
    <row r="202" spans="7:10" ht="15" customHeight="1" x14ac:dyDescent="0.25">
      <c r="G202" s="12" t="s">
        <v>2705</v>
      </c>
      <c r="H202" s="12" t="s">
        <v>2600</v>
      </c>
      <c r="I202" s="12" t="s">
        <v>2505</v>
      </c>
    </row>
    <row r="203" spans="7:10" ht="15" customHeight="1" x14ac:dyDescent="0.25">
      <c r="G203" s="12" t="s">
        <v>2713</v>
      </c>
      <c r="H203" s="12" t="s">
        <v>2596</v>
      </c>
      <c r="I203" s="12" t="s">
        <v>2553</v>
      </c>
    </row>
    <row r="204" spans="7:10" ht="15" customHeight="1" x14ac:dyDescent="0.25">
      <c r="G204" s="12" t="s">
        <v>2713</v>
      </c>
      <c r="H204" s="12" t="s">
        <v>2550</v>
      </c>
      <c r="I204" s="12" t="s">
        <v>2561</v>
      </c>
    </row>
    <row r="205" spans="7:10" ht="15" customHeight="1" x14ac:dyDescent="0.25">
      <c r="G205" s="12" t="s">
        <v>2713</v>
      </c>
      <c r="H205" s="12" t="s">
        <v>2597</v>
      </c>
      <c r="I205" s="12" t="s">
        <v>2561</v>
      </c>
    </row>
    <row r="206" spans="7:10" ht="15" customHeight="1" x14ac:dyDescent="0.25">
      <c r="G206" s="12" t="s">
        <v>2713</v>
      </c>
      <c r="H206" s="12" t="s">
        <v>2598</v>
      </c>
      <c r="I206" s="12" t="s">
        <v>2561</v>
      </c>
    </row>
    <row r="207" spans="7:10" ht="15" customHeight="1" x14ac:dyDescent="0.25">
      <c r="G207" s="12" t="s">
        <v>2713</v>
      </c>
      <c r="H207" s="12" t="s">
        <v>2606</v>
      </c>
      <c r="I207" s="12" t="s">
        <v>2588</v>
      </c>
      <c r="J207" s="12" t="s">
        <v>2496</v>
      </c>
    </row>
    <row r="208" spans="7:10" ht="15" customHeight="1" x14ac:dyDescent="0.25">
      <c r="G208" s="12" t="s">
        <v>2713</v>
      </c>
      <c r="H208" s="12" t="s">
        <v>2608</v>
      </c>
      <c r="I208" s="12" t="s">
        <v>2588</v>
      </c>
      <c r="J208" s="12" t="s">
        <v>2496</v>
      </c>
    </row>
    <row r="209" spans="7:10" ht="15" customHeight="1" x14ac:dyDescent="0.25">
      <c r="G209" s="12" t="s">
        <v>2713</v>
      </c>
      <c r="H209" s="12" t="s">
        <v>2609</v>
      </c>
      <c r="I209" s="12" t="s">
        <v>2588</v>
      </c>
    </row>
    <row r="210" spans="7:10" ht="15" customHeight="1" x14ac:dyDescent="0.25">
      <c r="G210" s="12" t="s">
        <v>2713</v>
      </c>
      <c r="H210" s="12" t="s">
        <v>2631</v>
      </c>
      <c r="I210" s="12" t="s">
        <v>2588</v>
      </c>
      <c r="J210" s="12">
        <v>3</v>
      </c>
    </row>
    <row r="211" spans="7:10" ht="15" customHeight="1" x14ac:dyDescent="0.25">
      <c r="G211" s="12" t="s">
        <v>2713</v>
      </c>
      <c r="H211" s="12" t="s">
        <v>2550</v>
      </c>
      <c r="I211" s="12" t="s">
        <v>2652</v>
      </c>
    </row>
    <row r="212" spans="7:10" ht="15" customHeight="1" x14ac:dyDescent="0.25">
      <c r="G212" s="12" t="s">
        <v>2713</v>
      </c>
      <c r="H212" s="12" t="s">
        <v>2608</v>
      </c>
      <c r="I212" s="12" t="s">
        <v>2715</v>
      </c>
      <c r="J212" s="12" t="s">
        <v>2504</v>
      </c>
    </row>
    <row r="213" spans="7:10" ht="15" customHeight="1" x14ac:dyDescent="0.25">
      <c r="G213" s="12" t="s">
        <v>2713</v>
      </c>
      <c r="H213" s="12" t="s">
        <v>2631</v>
      </c>
      <c r="I213" s="12" t="s">
        <v>2588</v>
      </c>
      <c r="J213" s="12">
        <v>3</v>
      </c>
    </row>
    <row r="214" spans="7:10" ht="15" customHeight="1" x14ac:dyDescent="0.25">
      <c r="G214" s="12" t="s">
        <v>2713</v>
      </c>
      <c r="H214" s="12" t="s">
        <v>2550</v>
      </c>
      <c r="I214" s="12" t="s">
        <v>2654</v>
      </c>
    </row>
    <row r="215" spans="7:10" ht="15" customHeight="1" x14ac:dyDescent="0.25">
      <c r="G215" s="12" t="s">
        <v>2713</v>
      </c>
      <c r="H215" s="12" t="s">
        <v>2608</v>
      </c>
      <c r="I215" s="12" t="s">
        <v>2717</v>
      </c>
      <c r="J215" s="12" t="s">
        <v>2504</v>
      </c>
    </row>
    <row r="216" spans="7:10" ht="15" customHeight="1" x14ac:dyDescent="0.25">
      <c r="G216" s="12" t="s">
        <v>2713</v>
      </c>
      <c r="H216" s="12" t="s">
        <v>2631</v>
      </c>
      <c r="I216" s="12" t="s">
        <v>2588</v>
      </c>
      <c r="J216" s="12">
        <v>3</v>
      </c>
    </row>
    <row r="217" spans="7:10" ht="15" customHeight="1" x14ac:dyDescent="0.25">
      <c r="G217" s="12" t="s">
        <v>2713</v>
      </c>
      <c r="H217" s="12" t="s">
        <v>2550</v>
      </c>
      <c r="I217" s="12" t="s">
        <v>2650</v>
      </c>
    </row>
    <row r="218" spans="7:10" ht="15" customHeight="1" x14ac:dyDescent="0.25">
      <c r="G218" s="12" t="s">
        <v>2713</v>
      </c>
      <c r="H218" s="12" t="s">
        <v>2608</v>
      </c>
      <c r="I218" s="12" t="s">
        <v>2719</v>
      </c>
      <c r="J218" s="12" t="s">
        <v>2504</v>
      </c>
    </row>
    <row r="219" spans="7:10" ht="15" customHeight="1" x14ac:dyDescent="0.25">
      <c r="G219" s="12" t="s">
        <v>2713</v>
      </c>
      <c r="H219" s="12" t="s">
        <v>2623</v>
      </c>
      <c r="I219" s="12" t="s">
        <v>2569</v>
      </c>
      <c r="J219" s="12" t="s">
        <v>2504</v>
      </c>
    </row>
    <row r="220" spans="7:10" ht="15" customHeight="1" x14ac:dyDescent="0.25">
      <c r="G220" s="12" t="s">
        <v>2713</v>
      </c>
      <c r="H220" s="12" t="s">
        <v>2624</v>
      </c>
      <c r="I220" s="12" t="s">
        <v>2569</v>
      </c>
      <c r="J220" s="12" t="s">
        <v>2504</v>
      </c>
    </row>
    <row r="221" spans="7:10" ht="15" customHeight="1" x14ac:dyDescent="0.25">
      <c r="G221" s="12" t="s">
        <v>2713</v>
      </c>
      <c r="H221" s="12" t="s">
        <v>2624</v>
      </c>
      <c r="I221" s="12" t="s">
        <v>2532</v>
      </c>
      <c r="J221" s="12" t="s">
        <v>2495</v>
      </c>
    </row>
    <row r="222" spans="7:10" ht="15" customHeight="1" x14ac:dyDescent="0.25">
      <c r="G222" s="12" t="s">
        <v>2713</v>
      </c>
      <c r="H222" s="12" t="s">
        <v>2626</v>
      </c>
      <c r="I222" s="12" t="s">
        <v>2569</v>
      </c>
      <c r="J222" s="12" t="s">
        <v>2504</v>
      </c>
    </row>
    <row r="223" spans="7:10" ht="15" customHeight="1" x14ac:dyDescent="0.25">
      <c r="G223" s="12" t="s">
        <v>2713</v>
      </c>
      <c r="H223" s="12" t="s">
        <v>2627</v>
      </c>
      <c r="I223" s="12" t="s">
        <v>2569</v>
      </c>
    </row>
    <row r="224" spans="7:10" ht="15" customHeight="1" x14ac:dyDescent="0.25">
      <c r="G224" s="12" t="s">
        <v>2713</v>
      </c>
      <c r="H224" s="12" t="s">
        <v>2610</v>
      </c>
      <c r="I224" s="12" t="s">
        <v>2569</v>
      </c>
      <c r="J224" s="12">
        <v>4</v>
      </c>
    </row>
    <row r="225" spans="7:10" ht="15" customHeight="1" x14ac:dyDescent="0.25">
      <c r="G225" s="12" t="s">
        <v>2713</v>
      </c>
      <c r="H225" s="12" t="s">
        <v>2600</v>
      </c>
      <c r="I225" s="12" t="s">
        <v>2553</v>
      </c>
    </row>
    <row r="226" spans="7:10" ht="15" customHeight="1" x14ac:dyDescent="0.25">
      <c r="G226" s="12" t="s">
        <v>2722</v>
      </c>
      <c r="H226" s="12" t="s">
        <v>2596</v>
      </c>
      <c r="I226" s="12" t="s">
        <v>2505</v>
      </c>
    </row>
    <row r="227" spans="7:10" ht="15" customHeight="1" x14ac:dyDescent="0.25">
      <c r="G227" s="12" t="s">
        <v>2722</v>
      </c>
      <c r="H227" s="12" t="s">
        <v>2550</v>
      </c>
      <c r="I227" s="12" t="s">
        <v>2537</v>
      </c>
    </row>
    <row r="228" spans="7:10" ht="15" customHeight="1" x14ac:dyDescent="0.25">
      <c r="G228" s="12" t="s">
        <v>2722</v>
      </c>
      <c r="H228" s="12" t="s">
        <v>2597</v>
      </c>
      <c r="I228" s="12" t="s">
        <v>2537</v>
      </c>
    </row>
    <row r="229" spans="7:10" ht="15" customHeight="1" x14ac:dyDescent="0.25">
      <c r="G229" s="12" t="s">
        <v>2722</v>
      </c>
      <c r="H229" s="12" t="s">
        <v>2598</v>
      </c>
      <c r="I229" s="12" t="s">
        <v>2537</v>
      </c>
    </row>
    <row r="230" spans="7:10" ht="15" customHeight="1" x14ac:dyDescent="0.25">
      <c r="G230" s="12" t="s">
        <v>2722</v>
      </c>
      <c r="H230" s="12" t="s">
        <v>2600</v>
      </c>
      <c r="I230" s="12" t="s">
        <v>2505</v>
      </c>
    </row>
    <row r="231" spans="7:10" ht="15" customHeight="1" x14ac:dyDescent="0.25">
      <c r="G231" s="12" t="s">
        <v>2724</v>
      </c>
      <c r="H231" s="12" t="s">
        <v>2596</v>
      </c>
      <c r="I231" s="12" t="s">
        <v>2553</v>
      </c>
    </row>
    <row r="232" spans="7:10" ht="15" customHeight="1" x14ac:dyDescent="0.25">
      <c r="G232" s="12" t="s">
        <v>2724</v>
      </c>
      <c r="H232" s="12" t="s">
        <v>2550</v>
      </c>
      <c r="I232" s="12" t="s">
        <v>2573</v>
      </c>
    </row>
    <row r="233" spans="7:10" ht="15" customHeight="1" x14ac:dyDescent="0.25">
      <c r="G233" s="12" t="s">
        <v>2724</v>
      </c>
      <c r="H233" s="12" t="s">
        <v>2597</v>
      </c>
      <c r="I233" s="12" t="s">
        <v>2573</v>
      </c>
    </row>
    <row r="234" spans="7:10" ht="15" customHeight="1" x14ac:dyDescent="0.25">
      <c r="G234" s="12" t="s">
        <v>2724</v>
      </c>
      <c r="H234" s="12" t="s">
        <v>2598</v>
      </c>
      <c r="I234" s="12" t="s">
        <v>2573</v>
      </c>
    </row>
    <row r="235" spans="7:10" ht="15" customHeight="1" x14ac:dyDescent="0.25">
      <c r="G235" s="12" t="s">
        <v>2724</v>
      </c>
      <c r="H235" s="12" t="s">
        <v>2623</v>
      </c>
      <c r="I235" s="12" t="s">
        <v>2715</v>
      </c>
      <c r="J235" s="12" t="s">
        <v>2504</v>
      </c>
    </row>
    <row r="236" spans="7:10" ht="15" customHeight="1" x14ac:dyDescent="0.25">
      <c r="G236" s="12" t="s">
        <v>2724</v>
      </c>
      <c r="H236" s="12" t="s">
        <v>2624</v>
      </c>
      <c r="I236" s="12" t="s">
        <v>2715</v>
      </c>
      <c r="J236" s="12" t="s">
        <v>2504</v>
      </c>
    </row>
    <row r="237" spans="7:10" ht="15" customHeight="1" x14ac:dyDescent="0.25">
      <c r="G237" s="12" t="s">
        <v>2724</v>
      </c>
      <c r="H237" s="12" t="s">
        <v>2624</v>
      </c>
      <c r="I237" s="12" t="s">
        <v>2532</v>
      </c>
      <c r="J237" s="12" t="s">
        <v>2495</v>
      </c>
    </row>
    <row r="238" spans="7:10" ht="15" customHeight="1" x14ac:dyDescent="0.25">
      <c r="G238" s="12" t="s">
        <v>2724</v>
      </c>
      <c r="H238" s="12" t="s">
        <v>2626</v>
      </c>
      <c r="I238" s="12" t="s">
        <v>2715</v>
      </c>
      <c r="J238" s="12" t="s">
        <v>2504</v>
      </c>
    </row>
    <row r="239" spans="7:10" ht="15" customHeight="1" x14ac:dyDescent="0.25">
      <c r="G239" s="12" t="s">
        <v>2724</v>
      </c>
      <c r="H239" s="12" t="s">
        <v>2627</v>
      </c>
      <c r="I239" s="12" t="s">
        <v>2715</v>
      </c>
    </row>
    <row r="240" spans="7:10" ht="15" customHeight="1" x14ac:dyDescent="0.25">
      <c r="G240" s="12" t="s">
        <v>2724</v>
      </c>
      <c r="H240" s="12" t="s">
        <v>2610</v>
      </c>
      <c r="I240" s="12" t="s">
        <v>2715</v>
      </c>
      <c r="J240" s="12">
        <v>2</v>
      </c>
    </row>
    <row r="241" spans="7:10" ht="15" customHeight="1" x14ac:dyDescent="0.25">
      <c r="G241" s="12" t="s">
        <v>2724</v>
      </c>
      <c r="H241" s="12" t="s">
        <v>2623</v>
      </c>
      <c r="I241" s="12" t="s">
        <v>2717</v>
      </c>
      <c r="J241" s="12" t="s">
        <v>2504</v>
      </c>
    </row>
    <row r="242" spans="7:10" ht="15" customHeight="1" x14ac:dyDescent="0.25">
      <c r="G242" s="12" t="s">
        <v>2724</v>
      </c>
      <c r="H242" s="12" t="s">
        <v>2624</v>
      </c>
      <c r="I242" s="12" t="s">
        <v>2717</v>
      </c>
      <c r="J242" s="12" t="s">
        <v>2504</v>
      </c>
    </row>
    <row r="243" spans="7:10" ht="15" customHeight="1" x14ac:dyDescent="0.25">
      <c r="G243" s="12" t="s">
        <v>2724</v>
      </c>
      <c r="H243" s="12" t="s">
        <v>2624</v>
      </c>
      <c r="I243" s="12" t="s">
        <v>2532</v>
      </c>
      <c r="J243" s="12" t="s">
        <v>2495</v>
      </c>
    </row>
    <row r="244" spans="7:10" ht="15" customHeight="1" x14ac:dyDescent="0.25">
      <c r="G244" s="12" t="s">
        <v>2724</v>
      </c>
      <c r="H244" s="12" t="s">
        <v>2626</v>
      </c>
      <c r="I244" s="12" t="s">
        <v>2717</v>
      </c>
      <c r="J244" s="12" t="s">
        <v>2504</v>
      </c>
    </row>
    <row r="245" spans="7:10" ht="15" customHeight="1" x14ac:dyDescent="0.25">
      <c r="G245" s="12" t="s">
        <v>2724</v>
      </c>
      <c r="H245" s="12" t="s">
        <v>2627</v>
      </c>
      <c r="I245" s="12" t="s">
        <v>2717</v>
      </c>
    </row>
    <row r="246" spans="7:10" ht="15" customHeight="1" x14ac:dyDescent="0.25">
      <c r="G246" s="12" t="s">
        <v>2724</v>
      </c>
      <c r="H246" s="12" t="s">
        <v>2610</v>
      </c>
      <c r="I246" s="12" t="s">
        <v>2717</v>
      </c>
      <c r="J246" s="12">
        <v>2</v>
      </c>
    </row>
    <row r="247" spans="7:10" ht="15" customHeight="1" x14ac:dyDescent="0.25">
      <c r="G247" s="12" t="s">
        <v>2724</v>
      </c>
      <c r="H247" s="12" t="s">
        <v>2623</v>
      </c>
      <c r="I247" s="12" t="s">
        <v>2719</v>
      </c>
      <c r="J247" s="12" t="s">
        <v>2504</v>
      </c>
    </row>
    <row r="248" spans="7:10" ht="15" customHeight="1" x14ac:dyDescent="0.25">
      <c r="G248" s="12" t="s">
        <v>2724</v>
      </c>
      <c r="H248" s="12" t="s">
        <v>2624</v>
      </c>
      <c r="I248" s="12" t="s">
        <v>2719</v>
      </c>
      <c r="J248" s="12" t="s">
        <v>2504</v>
      </c>
    </row>
    <row r="249" spans="7:10" ht="15" customHeight="1" x14ac:dyDescent="0.25">
      <c r="G249" s="12" t="s">
        <v>2724</v>
      </c>
      <c r="H249" s="12" t="s">
        <v>2624</v>
      </c>
      <c r="I249" s="12" t="s">
        <v>2538</v>
      </c>
      <c r="J249" s="12" t="s">
        <v>2504</v>
      </c>
    </row>
    <row r="250" spans="7:10" ht="15" customHeight="1" x14ac:dyDescent="0.25">
      <c r="G250" s="12" t="s">
        <v>2724</v>
      </c>
      <c r="H250" s="12" t="s">
        <v>2626</v>
      </c>
      <c r="I250" s="12" t="s">
        <v>2719</v>
      </c>
      <c r="J250" s="12" t="s">
        <v>2504</v>
      </c>
    </row>
    <row r="251" spans="7:10" ht="15" customHeight="1" x14ac:dyDescent="0.25">
      <c r="G251" s="12" t="s">
        <v>2724</v>
      </c>
      <c r="H251" s="12" t="s">
        <v>2627</v>
      </c>
      <c r="I251" s="12" t="s">
        <v>2719</v>
      </c>
    </row>
    <row r="252" spans="7:10" ht="15" customHeight="1" x14ac:dyDescent="0.25">
      <c r="G252" s="12" t="s">
        <v>2724</v>
      </c>
      <c r="H252" s="12" t="s">
        <v>2610</v>
      </c>
      <c r="I252" s="12" t="s">
        <v>2719</v>
      </c>
      <c r="J252" s="12">
        <v>2</v>
      </c>
    </row>
    <row r="253" spans="7:10" ht="15" customHeight="1" x14ac:dyDescent="0.25">
      <c r="G253" s="12" t="s">
        <v>2724</v>
      </c>
      <c r="H253" s="12" t="s">
        <v>2623</v>
      </c>
      <c r="I253" s="12" t="s">
        <v>2588</v>
      </c>
      <c r="J253" s="12" t="s">
        <v>2496</v>
      </c>
    </row>
    <row r="254" spans="7:10" ht="15" customHeight="1" x14ac:dyDescent="0.25">
      <c r="G254" s="12" t="s">
        <v>2724</v>
      </c>
      <c r="H254" s="12" t="s">
        <v>2624</v>
      </c>
      <c r="I254" s="12" t="s">
        <v>2588</v>
      </c>
      <c r="J254" s="12" t="s">
        <v>2496</v>
      </c>
    </row>
    <row r="255" spans="7:10" ht="15" customHeight="1" x14ac:dyDescent="0.25">
      <c r="G255" s="12" t="s">
        <v>2724</v>
      </c>
      <c r="H255" s="12" t="s">
        <v>2624</v>
      </c>
      <c r="I255" s="12" t="s">
        <v>2538</v>
      </c>
      <c r="J255" s="12" t="s">
        <v>2504</v>
      </c>
    </row>
    <row r="256" spans="7:10" ht="15" customHeight="1" x14ac:dyDescent="0.25">
      <c r="G256" s="12" t="s">
        <v>2724</v>
      </c>
      <c r="H256" s="12" t="s">
        <v>2661</v>
      </c>
      <c r="I256" s="12" t="s">
        <v>2588</v>
      </c>
    </row>
    <row r="257" spans="7:10" ht="15" customHeight="1" x14ac:dyDescent="0.25">
      <c r="G257" s="12" t="s">
        <v>2724</v>
      </c>
      <c r="H257" s="12" t="s">
        <v>2626</v>
      </c>
      <c r="I257" s="12" t="s">
        <v>2588</v>
      </c>
      <c r="J257" s="12" t="s">
        <v>2496</v>
      </c>
    </row>
    <row r="258" spans="7:10" ht="15" customHeight="1" x14ac:dyDescent="0.25">
      <c r="G258" s="12" t="s">
        <v>2724</v>
      </c>
      <c r="H258" s="12" t="s">
        <v>2627</v>
      </c>
      <c r="I258" s="12" t="s">
        <v>2588</v>
      </c>
    </row>
    <row r="259" spans="7:10" ht="15" customHeight="1" x14ac:dyDescent="0.25">
      <c r="G259" s="12" t="s">
        <v>2724</v>
      </c>
      <c r="H259" s="12" t="s">
        <v>2626</v>
      </c>
      <c r="I259" s="12" t="s">
        <v>2538</v>
      </c>
      <c r="J259" s="12" t="s">
        <v>2504</v>
      </c>
    </row>
    <row r="260" spans="7:10" ht="15" customHeight="1" x14ac:dyDescent="0.25">
      <c r="G260" s="12" t="s">
        <v>2724</v>
      </c>
      <c r="H260" s="12" t="s">
        <v>2627</v>
      </c>
      <c r="I260" s="12" t="s">
        <v>2538</v>
      </c>
    </row>
    <row r="261" spans="7:10" ht="15" customHeight="1" x14ac:dyDescent="0.25">
      <c r="G261" s="12" t="s">
        <v>2724</v>
      </c>
      <c r="H261" s="12" t="s">
        <v>2600</v>
      </c>
      <c r="I261" s="12" t="s">
        <v>2553</v>
      </c>
    </row>
    <row r="262" spans="7:10" ht="15" customHeight="1" x14ac:dyDescent="0.25">
      <c r="G262" s="12" t="s">
        <v>2732</v>
      </c>
      <c r="H262" s="12" t="s">
        <v>2596</v>
      </c>
      <c r="I262" s="12" t="s">
        <v>2505</v>
      </c>
    </row>
    <row r="263" spans="7:10" ht="15" customHeight="1" x14ac:dyDescent="0.25">
      <c r="G263" s="12" t="s">
        <v>2732</v>
      </c>
      <c r="H263" s="12" t="s">
        <v>2550</v>
      </c>
      <c r="I263" s="12" t="s">
        <v>2513</v>
      </c>
    </row>
    <row r="264" spans="7:10" ht="15" customHeight="1" x14ac:dyDescent="0.25">
      <c r="G264" s="12" t="s">
        <v>2732</v>
      </c>
      <c r="H264" s="12" t="s">
        <v>2710</v>
      </c>
      <c r="I264" s="12" t="s">
        <v>2513</v>
      </c>
      <c r="J264" s="12" t="s">
        <v>2495</v>
      </c>
    </row>
    <row r="265" spans="7:10" ht="15" customHeight="1" x14ac:dyDescent="0.25">
      <c r="G265" s="12" t="s">
        <v>2732</v>
      </c>
      <c r="H265" s="12" t="s">
        <v>2600</v>
      </c>
      <c r="I265" s="12" t="s">
        <v>2505</v>
      </c>
    </row>
    <row r="266" spans="7:10" ht="15" customHeight="1" x14ac:dyDescent="0.25">
      <c r="G266" s="12" t="s">
        <v>2735</v>
      </c>
      <c r="H266" s="12" t="s">
        <v>2596</v>
      </c>
      <c r="I266" s="12" t="s">
        <v>2553</v>
      </c>
    </row>
    <row r="267" spans="7:10" ht="15" customHeight="1" x14ac:dyDescent="0.25">
      <c r="G267" s="12" t="s">
        <v>2735</v>
      </c>
      <c r="H267" s="12" t="s">
        <v>2550</v>
      </c>
      <c r="I267" s="12" t="s">
        <v>2585</v>
      </c>
    </row>
    <row r="268" spans="7:10" ht="15" customHeight="1" x14ac:dyDescent="0.25">
      <c r="G268" s="12" t="s">
        <v>2735</v>
      </c>
      <c r="H268" s="12" t="s">
        <v>2710</v>
      </c>
      <c r="I268" s="12" t="s">
        <v>2585</v>
      </c>
      <c r="J268" s="12" t="s">
        <v>2504</v>
      </c>
    </row>
    <row r="269" spans="7:10" ht="15" customHeight="1" x14ac:dyDescent="0.25">
      <c r="G269" s="12" t="s">
        <v>2735</v>
      </c>
      <c r="H269" s="12" t="s">
        <v>2606</v>
      </c>
      <c r="I269" s="12" t="s">
        <v>2592</v>
      </c>
      <c r="J269" s="12" t="s">
        <v>2496</v>
      </c>
    </row>
    <row r="270" spans="7:10" ht="15" customHeight="1" x14ac:dyDescent="0.25">
      <c r="G270" s="12" t="s">
        <v>2735</v>
      </c>
      <c r="H270" s="12" t="s">
        <v>2608</v>
      </c>
      <c r="I270" s="12" t="s">
        <v>2592</v>
      </c>
      <c r="J270" s="12" t="s">
        <v>2496</v>
      </c>
    </row>
    <row r="271" spans="7:10" ht="15" customHeight="1" x14ac:dyDescent="0.25">
      <c r="G271" s="12" t="s">
        <v>2735</v>
      </c>
      <c r="H271" s="12" t="s">
        <v>2609</v>
      </c>
      <c r="I271" s="12" t="s">
        <v>2592</v>
      </c>
    </row>
    <row r="272" spans="7:10" ht="15" customHeight="1" x14ac:dyDescent="0.25">
      <c r="G272" s="12" t="s">
        <v>2735</v>
      </c>
      <c r="H272" s="12" t="s">
        <v>2631</v>
      </c>
      <c r="I272" s="12" t="s">
        <v>2592</v>
      </c>
      <c r="J272" s="12">
        <v>3</v>
      </c>
    </row>
    <row r="273" spans="7:10" ht="15" customHeight="1" x14ac:dyDescent="0.25">
      <c r="G273" s="12" t="s">
        <v>2735</v>
      </c>
      <c r="H273" s="12" t="s">
        <v>2550</v>
      </c>
      <c r="I273" s="12" t="s">
        <v>2575</v>
      </c>
    </row>
    <row r="274" spans="7:10" ht="15" customHeight="1" x14ac:dyDescent="0.25">
      <c r="G274" s="12" t="s">
        <v>2735</v>
      </c>
      <c r="H274" s="12" t="s">
        <v>2608</v>
      </c>
      <c r="I274" s="12" t="s">
        <v>2738</v>
      </c>
      <c r="J274" s="12" t="s">
        <v>2504</v>
      </c>
    </row>
    <row r="275" spans="7:10" ht="15" customHeight="1" x14ac:dyDescent="0.25">
      <c r="G275" s="12" t="s">
        <v>2735</v>
      </c>
      <c r="H275" s="12" t="s">
        <v>2631</v>
      </c>
      <c r="I275" s="12" t="s">
        <v>2592</v>
      </c>
      <c r="J275" s="12">
        <v>3</v>
      </c>
    </row>
    <row r="276" spans="7:10" ht="15" customHeight="1" x14ac:dyDescent="0.25">
      <c r="G276" s="12" t="s">
        <v>2735</v>
      </c>
      <c r="H276" s="12" t="s">
        <v>2550</v>
      </c>
      <c r="I276" s="12" t="s">
        <v>2652</v>
      </c>
    </row>
    <row r="277" spans="7:10" ht="15" customHeight="1" x14ac:dyDescent="0.25">
      <c r="G277" s="12" t="s">
        <v>2735</v>
      </c>
      <c r="H277" s="12" t="s">
        <v>2608</v>
      </c>
      <c r="I277" s="12" t="s">
        <v>2740</v>
      </c>
      <c r="J277" s="12" t="s">
        <v>2504</v>
      </c>
    </row>
  </sheetData>
  <phoneticPr fontId="11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227"/>
  <sheetViews>
    <sheetView workbookViewId="0">
      <pane ySplit="1" topLeftCell="A202" activePane="bottomLeft" state="frozen"/>
      <selection pane="bottomLeft" activeCell="B230" sqref="B230"/>
    </sheetView>
  </sheetViews>
  <sheetFormatPr defaultColWidth="10.5546875" defaultRowHeight="15" customHeight="1" x14ac:dyDescent="0.25"/>
  <cols>
    <col min="1" max="1" width="19.44140625" style="11" customWidth="1"/>
    <col min="2" max="2" width="33.5546875" style="11" customWidth="1"/>
    <col min="3" max="16384" width="10.5546875" style="11"/>
  </cols>
  <sheetData>
    <row r="1" spans="1:2" s="10" customFormat="1" ht="15" customHeight="1" x14ac:dyDescent="0.25">
      <c r="A1" s="10" t="s">
        <v>214</v>
      </c>
      <c r="B1" s="10" t="s">
        <v>215</v>
      </c>
    </row>
    <row r="2" spans="1:2" ht="15" customHeight="1" x14ac:dyDescent="0.25">
      <c r="A2" s="11" t="s">
        <v>216</v>
      </c>
      <c r="B2" s="11" t="s">
        <v>217</v>
      </c>
    </row>
    <row r="3" spans="1:2" ht="15" customHeight="1" x14ac:dyDescent="0.25">
      <c r="A3" s="11" t="s">
        <v>218</v>
      </c>
      <c r="B3" s="11" t="s">
        <v>101</v>
      </c>
    </row>
    <row r="4" spans="1:2" ht="15" customHeight="1" x14ac:dyDescent="0.25">
      <c r="A4" s="11" t="s">
        <v>219</v>
      </c>
      <c r="B4" s="11" t="s">
        <v>103</v>
      </c>
    </row>
    <row r="5" spans="1:2" ht="15" customHeight="1" x14ac:dyDescent="0.25">
      <c r="A5" s="11" t="s">
        <v>220</v>
      </c>
      <c r="B5" s="11" t="s">
        <v>221</v>
      </c>
    </row>
    <row r="6" spans="1:2" ht="15" customHeight="1" x14ac:dyDescent="0.25">
      <c r="A6" s="11" t="s">
        <v>222</v>
      </c>
      <c r="B6" s="11" t="s">
        <v>223</v>
      </c>
    </row>
    <row r="7" spans="1:2" ht="15" customHeight="1" x14ac:dyDescent="0.25">
      <c r="A7" s="11" t="s">
        <v>224</v>
      </c>
      <c r="B7" s="11" t="s">
        <v>102</v>
      </c>
    </row>
    <row r="8" spans="1:2" ht="15" customHeight="1" x14ac:dyDescent="0.25">
      <c r="A8" s="11" t="s">
        <v>193</v>
      </c>
      <c r="B8" s="11" t="s">
        <v>14</v>
      </c>
    </row>
    <row r="9" spans="1:2" s="10" customFormat="1" ht="15" customHeight="1" x14ac:dyDescent="0.25">
      <c r="A9" s="10" t="s">
        <v>225</v>
      </c>
      <c r="B9" s="10" t="s">
        <v>226</v>
      </c>
    </row>
    <row r="10" spans="1:2" ht="15" customHeight="1" x14ac:dyDescent="0.25">
      <c r="A10" s="11" t="s">
        <v>227</v>
      </c>
      <c r="B10" s="11" t="s">
        <v>228</v>
      </c>
    </row>
    <row r="11" spans="1:2" ht="15" customHeight="1" x14ac:dyDescent="0.25">
      <c r="A11" s="11" t="s">
        <v>229</v>
      </c>
      <c r="B11" s="11" t="s">
        <v>230</v>
      </c>
    </row>
    <row r="12" spans="1:2" ht="15" customHeight="1" x14ac:dyDescent="0.25">
      <c r="A12" s="11" t="s">
        <v>198</v>
      </c>
      <c r="B12" s="11" t="s">
        <v>231</v>
      </c>
    </row>
    <row r="13" spans="1:2" ht="15" customHeight="1" x14ac:dyDescent="0.25">
      <c r="A13" s="11" t="s">
        <v>213</v>
      </c>
      <c r="B13" s="11" t="s">
        <v>232</v>
      </c>
    </row>
    <row r="14" spans="1:2" ht="15" customHeight="1" x14ac:dyDescent="0.25">
      <c r="A14" s="11" t="s">
        <v>233</v>
      </c>
      <c r="B14" s="11" t="s">
        <v>234</v>
      </c>
    </row>
    <row r="15" spans="1:2" ht="15" customHeight="1" x14ac:dyDescent="0.25">
      <c r="A15" s="11" t="s">
        <v>200</v>
      </c>
      <c r="B15" s="11" t="s">
        <v>235</v>
      </c>
    </row>
    <row r="16" spans="1:2" ht="15" customHeight="1" x14ac:dyDescent="0.25">
      <c r="A16" s="11" t="s">
        <v>201</v>
      </c>
      <c r="B16" s="11" t="s">
        <v>236</v>
      </c>
    </row>
    <row r="17" spans="1:2" ht="15" customHeight="1" x14ac:dyDescent="0.25">
      <c r="A17" s="11" t="s">
        <v>237</v>
      </c>
      <c r="B17" s="11" t="s">
        <v>238</v>
      </c>
    </row>
    <row r="18" spans="1:2" ht="15" customHeight="1" x14ac:dyDescent="0.25">
      <c r="A18" s="11" t="s">
        <v>239</v>
      </c>
      <c r="B18" s="11" t="s">
        <v>240</v>
      </c>
    </row>
    <row r="19" spans="1:2" ht="15" customHeight="1" x14ac:dyDescent="0.25">
      <c r="A19" s="11" t="s">
        <v>241</v>
      </c>
      <c r="B19" s="11" t="s">
        <v>242</v>
      </c>
    </row>
    <row r="20" spans="1:2" ht="15" customHeight="1" x14ac:dyDescent="0.25">
      <c r="A20" s="11" t="s">
        <v>243</v>
      </c>
      <c r="B20" s="11" t="s">
        <v>244</v>
      </c>
    </row>
    <row r="21" spans="1:2" ht="15" customHeight="1" x14ac:dyDescent="0.25">
      <c r="A21" s="11" t="s">
        <v>245</v>
      </c>
      <c r="B21" s="11" t="s">
        <v>246</v>
      </c>
    </row>
    <row r="22" spans="1:2" ht="15" customHeight="1" x14ac:dyDescent="0.25">
      <c r="A22" s="11" t="s">
        <v>247</v>
      </c>
      <c r="B22" s="11" t="s">
        <v>248</v>
      </c>
    </row>
    <row r="23" spans="1:2" ht="15" customHeight="1" x14ac:dyDescent="0.25">
      <c r="A23" s="11" t="s">
        <v>249</v>
      </c>
      <c r="B23" s="11" t="s">
        <v>250</v>
      </c>
    </row>
    <row r="24" spans="1:2" ht="15" customHeight="1" x14ac:dyDescent="0.25">
      <c r="A24" s="11" t="s">
        <v>251</v>
      </c>
      <c r="B24" s="11" t="s">
        <v>252</v>
      </c>
    </row>
    <row r="25" spans="1:2" ht="15" customHeight="1" x14ac:dyDescent="0.25">
      <c r="A25" s="11" t="s">
        <v>253</v>
      </c>
      <c r="B25" s="11" t="s">
        <v>254</v>
      </c>
    </row>
    <row r="26" spans="1:2" ht="15" customHeight="1" x14ac:dyDescent="0.25">
      <c r="A26" s="11" t="s">
        <v>255</v>
      </c>
      <c r="B26" s="11" t="s">
        <v>256</v>
      </c>
    </row>
    <row r="27" spans="1:2" ht="15" customHeight="1" x14ac:dyDescent="0.25">
      <c r="A27" s="11" t="s">
        <v>257</v>
      </c>
      <c r="B27" s="11" t="s">
        <v>258</v>
      </c>
    </row>
    <row r="28" spans="1:2" ht="15" customHeight="1" x14ac:dyDescent="0.25">
      <c r="A28" s="11" t="s">
        <v>259</v>
      </c>
      <c r="B28" s="11" t="s">
        <v>260</v>
      </c>
    </row>
    <row r="29" spans="1:2" ht="15" customHeight="1" x14ac:dyDescent="0.25">
      <c r="A29" s="11" t="s">
        <v>261</v>
      </c>
      <c r="B29" s="11" t="s">
        <v>262</v>
      </c>
    </row>
    <row r="30" spans="1:2" ht="15" customHeight="1" x14ac:dyDescent="0.25">
      <c r="A30" s="11" t="s">
        <v>263</v>
      </c>
      <c r="B30" s="11" t="s">
        <v>264</v>
      </c>
    </row>
    <row r="31" spans="1:2" ht="15" customHeight="1" x14ac:dyDescent="0.25">
      <c r="A31" s="11" t="s">
        <v>265</v>
      </c>
      <c r="B31" s="11" t="s">
        <v>266</v>
      </c>
    </row>
    <row r="32" spans="1:2" ht="15" customHeight="1" x14ac:dyDescent="0.25">
      <c r="A32" s="11" t="s">
        <v>267</v>
      </c>
      <c r="B32" s="11" t="s">
        <v>268</v>
      </c>
    </row>
    <row r="33" spans="1:2" ht="15" customHeight="1" x14ac:dyDescent="0.25">
      <c r="A33" s="11" t="s">
        <v>269</v>
      </c>
      <c r="B33" s="11" t="s">
        <v>270</v>
      </c>
    </row>
    <row r="34" spans="1:2" ht="15" customHeight="1" x14ac:dyDescent="0.25">
      <c r="A34" s="11" t="s">
        <v>271</v>
      </c>
      <c r="B34" s="11" t="s">
        <v>272</v>
      </c>
    </row>
    <row r="35" spans="1:2" ht="15" customHeight="1" x14ac:dyDescent="0.25">
      <c r="A35" s="11" t="s">
        <v>273</v>
      </c>
      <c r="B35" s="11" t="s">
        <v>274</v>
      </c>
    </row>
    <row r="36" spans="1:2" ht="15" customHeight="1" x14ac:dyDescent="0.25">
      <c r="A36" s="11" t="s">
        <v>207</v>
      </c>
      <c r="B36" s="11" t="s">
        <v>275</v>
      </c>
    </row>
    <row r="37" spans="1:2" s="10" customFormat="1" ht="15" customHeight="1" x14ac:dyDescent="0.25">
      <c r="A37" s="10" t="s">
        <v>276</v>
      </c>
      <c r="B37" s="10" t="s">
        <v>277</v>
      </c>
    </row>
    <row r="38" spans="1:2" ht="15" customHeight="1" x14ac:dyDescent="0.25">
      <c r="A38" s="11" t="s">
        <v>192</v>
      </c>
      <c r="B38" s="11" t="s">
        <v>278</v>
      </c>
    </row>
    <row r="39" spans="1:2" ht="15" customHeight="1" x14ac:dyDescent="0.25">
      <c r="A39" s="11" t="s">
        <v>279</v>
      </c>
      <c r="B39" s="11" t="s">
        <v>280</v>
      </c>
    </row>
    <row r="40" spans="1:2" ht="15" customHeight="1" x14ac:dyDescent="0.25">
      <c r="A40" s="11" t="s">
        <v>281</v>
      </c>
      <c r="B40" s="11" t="s">
        <v>282</v>
      </c>
    </row>
    <row r="41" spans="1:2" ht="15" customHeight="1" x14ac:dyDescent="0.25">
      <c r="A41" s="11" t="s">
        <v>283</v>
      </c>
      <c r="B41" s="11" t="s">
        <v>284</v>
      </c>
    </row>
    <row r="42" spans="1:2" ht="15" customHeight="1" x14ac:dyDescent="0.25">
      <c r="A42" s="11" t="s">
        <v>285</v>
      </c>
      <c r="B42" s="11" t="s">
        <v>286</v>
      </c>
    </row>
    <row r="43" spans="1:2" ht="15" customHeight="1" x14ac:dyDescent="0.25">
      <c r="A43" s="11" t="s">
        <v>287</v>
      </c>
      <c r="B43" s="11" t="s">
        <v>288</v>
      </c>
    </row>
    <row r="44" spans="1:2" ht="15" customHeight="1" x14ac:dyDescent="0.25">
      <c r="A44" s="11" t="s">
        <v>289</v>
      </c>
      <c r="B44" s="11" t="s">
        <v>290</v>
      </c>
    </row>
    <row r="45" spans="1:2" ht="15" customHeight="1" x14ac:dyDescent="0.25">
      <c r="A45" s="11" t="s">
        <v>291</v>
      </c>
      <c r="B45" s="11" t="s">
        <v>292</v>
      </c>
    </row>
    <row r="46" spans="1:2" ht="15" customHeight="1" x14ac:dyDescent="0.25">
      <c r="A46" s="11" t="s">
        <v>293</v>
      </c>
      <c r="B46" s="11" t="s">
        <v>294</v>
      </c>
    </row>
    <row r="47" spans="1:2" ht="15" customHeight="1" x14ac:dyDescent="0.25">
      <c r="A47" s="11" t="s">
        <v>295</v>
      </c>
      <c r="B47" s="11" t="s">
        <v>296</v>
      </c>
    </row>
    <row r="48" spans="1:2" ht="15" customHeight="1" x14ac:dyDescent="0.25">
      <c r="A48" s="11" t="s">
        <v>297</v>
      </c>
      <c r="B48" s="11" t="s">
        <v>298</v>
      </c>
    </row>
    <row r="49" spans="1:2" ht="15" customHeight="1" x14ac:dyDescent="0.25">
      <c r="A49" s="11" t="s">
        <v>299</v>
      </c>
      <c r="B49" s="11" t="s">
        <v>300</v>
      </c>
    </row>
    <row r="50" spans="1:2" ht="15" customHeight="1" x14ac:dyDescent="0.25">
      <c r="A50" s="11" t="s">
        <v>301</v>
      </c>
      <c r="B50" s="11" t="s">
        <v>302</v>
      </c>
    </row>
    <row r="51" spans="1:2" ht="15" customHeight="1" x14ac:dyDescent="0.25">
      <c r="A51" s="11" t="s">
        <v>191</v>
      </c>
      <c r="B51" s="11" t="s">
        <v>303</v>
      </c>
    </row>
    <row r="52" spans="1:2" ht="15" customHeight="1" x14ac:dyDescent="0.25">
      <c r="A52" s="11" t="s">
        <v>304</v>
      </c>
      <c r="B52" s="11" t="s">
        <v>305</v>
      </c>
    </row>
    <row r="53" spans="1:2" ht="15" customHeight="1" x14ac:dyDescent="0.25">
      <c r="A53" s="11" t="s">
        <v>306</v>
      </c>
      <c r="B53" s="11" t="s">
        <v>307</v>
      </c>
    </row>
    <row r="54" spans="1:2" ht="15" customHeight="1" x14ac:dyDescent="0.25">
      <c r="A54" s="11" t="s">
        <v>308</v>
      </c>
      <c r="B54" s="11" t="s">
        <v>309</v>
      </c>
    </row>
    <row r="55" spans="1:2" ht="15" customHeight="1" x14ac:dyDescent="0.25">
      <c r="A55" s="11" t="s">
        <v>310</v>
      </c>
      <c r="B55" s="11" t="s">
        <v>311</v>
      </c>
    </row>
    <row r="56" spans="1:2" ht="15" customHeight="1" x14ac:dyDescent="0.25">
      <c r="A56" s="11" t="s">
        <v>312</v>
      </c>
      <c r="B56" s="11" t="s">
        <v>313</v>
      </c>
    </row>
    <row r="57" spans="1:2" ht="15" customHeight="1" x14ac:dyDescent="0.25">
      <c r="A57" s="11" t="s">
        <v>314</v>
      </c>
      <c r="B57" s="11" t="s">
        <v>315</v>
      </c>
    </row>
    <row r="58" spans="1:2" ht="15" customHeight="1" x14ac:dyDescent="0.25">
      <c r="A58" s="11" t="s">
        <v>316</v>
      </c>
      <c r="B58" s="11" t="s">
        <v>317</v>
      </c>
    </row>
    <row r="59" spans="1:2" ht="15" customHeight="1" x14ac:dyDescent="0.25">
      <c r="A59" s="11" t="s">
        <v>318</v>
      </c>
      <c r="B59" s="11" t="s">
        <v>319</v>
      </c>
    </row>
    <row r="60" spans="1:2" ht="15" customHeight="1" x14ac:dyDescent="0.25">
      <c r="A60" s="11" t="s">
        <v>320</v>
      </c>
      <c r="B60" s="11" t="s">
        <v>321</v>
      </c>
    </row>
    <row r="61" spans="1:2" ht="15" customHeight="1" x14ac:dyDescent="0.25">
      <c r="A61" s="11" t="s">
        <v>212</v>
      </c>
      <c r="B61" s="11" t="s">
        <v>322</v>
      </c>
    </row>
    <row r="62" spans="1:2" ht="15" customHeight="1" x14ac:dyDescent="0.25">
      <c r="A62" s="11" t="s">
        <v>323</v>
      </c>
      <c r="B62" s="11" t="s">
        <v>324</v>
      </c>
    </row>
    <row r="63" spans="1:2" ht="15" customHeight="1" x14ac:dyDescent="0.25">
      <c r="A63" s="11" t="s">
        <v>325</v>
      </c>
      <c r="B63" s="11" t="s">
        <v>326</v>
      </c>
    </row>
    <row r="64" spans="1:2" ht="15" customHeight="1" x14ac:dyDescent="0.25">
      <c r="A64" s="11" t="s">
        <v>327</v>
      </c>
      <c r="B64" s="11" t="s">
        <v>328</v>
      </c>
    </row>
    <row r="65" spans="1:2" ht="15" customHeight="1" x14ac:dyDescent="0.25">
      <c r="A65" s="11" t="s">
        <v>329</v>
      </c>
      <c r="B65" s="11" t="s">
        <v>13</v>
      </c>
    </row>
    <row r="66" spans="1:2" ht="15" customHeight="1" x14ac:dyDescent="0.25">
      <c r="A66" s="11" t="s">
        <v>330</v>
      </c>
      <c r="B66" s="11" t="s">
        <v>331</v>
      </c>
    </row>
    <row r="67" spans="1:2" ht="15" customHeight="1" x14ac:dyDescent="0.25">
      <c r="A67" s="11" t="s">
        <v>332</v>
      </c>
      <c r="B67" s="11" t="s">
        <v>333</v>
      </c>
    </row>
    <row r="68" spans="1:2" ht="15" customHeight="1" x14ac:dyDescent="0.25">
      <c r="A68" s="11" t="s">
        <v>334</v>
      </c>
      <c r="B68" s="11" t="s">
        <v>335</v>
      </c>
    </row>
    <row r="69" spans="1:2" ht="15" customHeight="1" x14ac:dyDescent="0.25">
      <c r="A69" s="11" t="s">
        <v>336</v>
      </c>
      <c r="B69" s="11" t="s">
        <v>337</v>
      </c>
    </row>
    <row r="70" spans="1:2" ht="15" customHeight="1" x14ac:dyDescent="0.25">
      <c r="A70" s="11" t="s">
        <v>208</v>
      </c>
      <c r="B70" s="11" t="s">
        <v>338</v>
      </c>
    </row>
    <row r="71" spans="1:2" ht="15" customHeight="1" x14ac:dyDescent="0.25">
      <c r="A71" s="11" t="s">
        <v>202</v>
      </c>
      <c r="B71" s="11" t="s">
        <v>339</v>
      </c>
    </row>
    <row r="72" spans="1:2" ht="15" customHeight="1" x14ac:dyDescent="0.25">
      <c r="A72" s="11" t="s">
        <v>194</v>
      </c>
      <c r="B72" s="11" t="s">
        <v>340</v>
      </c>
    </row>
    <row r="73" spans="1:2" ht="15" customHeight="1" x14ac:dyDescent="0.25">
      <c r="A73" s="11" t="s">
        <v>341</v>
      </c>
      <c r="B73" s="11" t="s">
        <v>342</v>
      </c>
    </row>
    <row r="74" spans="1:2" ht="15" customHeight="1" x14ac:dyDescent="0.25">
      <c r="A74" s="11" t="s">
        <v>343</v>
      </c>
      <c r="B74" s="11" t="s">
        <v>12</v>
      </c>
    </row>
    <row r="75" spans="1:2" ht="15" customHeight="1" x14ac:dyDescent="0.25">
      <c r="A75" s="11" t="s">
        <v>344</v>
      </c>
      <c r="B75" s="11" t="s">
        <v>345</v>
      </c>
    </row>
    <row r="76" spans="1:2" ht="15" customHeight="1" x14ac:dyDescent="0.25">
      <c r="A76" s="11" t="s">
        <v>346</v>
      </c>
      <c r="B76" s="11" t="s">
        <v>5</v>
      </c>
    </row>
    <row r="77" spans="1:2" ht="15" customHeight="1" x14ac:dyDescent="0.25">
      <c r="A77" s="11" t="s">
        <v>347</v>
      </c>
      <c r="B77" s="11" t="s">
        <v>348</v>
      </c>
    </row>
    <row r="78" spans="1:2" ht="15" customHeight="1" x14ac:dyDescent="0.25">
      <c r="A78" s="11" t="s">
        <v>349</v>
      </c>
      <c r="B78" s="11" t="s">
        <v>350</v>
      </c>
    </row>
    <row r="79" spans="1:2" ht="15" customHeight="1" x14ac:dyDescent="0.25">
      <c r="A79" s="11" t="s">
        <v>351</v>
      </c>
      <c r="B79" s="11" t="s">
        <v>352</v>
      </c>
    </row>
    <row r="80" spans="1:2" ht="15" customHeight="1" x14ac:dyDescent="0.25">
      <c r="A80" s="11" t="s">
        <v>353</v>
      </c>
      <c r="B80" s="11" t="s">
        <v>354</v>
      </c>
    </row>
    <row r="81" spans="1:2" ht="15" customHeight="1" x14ac:dyDescent="0.25">
      <c r="A81" s="11" t="s">
        <v>355</v>
      </c>
      <c r="B81" s="11" t="s">
        <v>356</v>
      </c>
    </row>
    <row r="82" spans="1:2" ht="15" customHeight="1" x14ac:dyDescent="0.25">
      <c r="A82" s="11" t="s">
        <v>357</v>
      </c>
      <c r="B82" s="11" t="s">
        <v>358</v>
      </c>
    </row>
    <row r="83" spans="1:2" ht="15" customHeight="1" x14ac:dyDescent="0.25">
      <c r="A83" s="11" t="s">
        <v>359</v>
      </c>
      <c r="B83" s="11" t="s">
        <v>360</v>
      </c>
    </row>
    <row r="84" spans="1:2" ht="15" customHeight="1" x14ac:dyDescent="0.25">
      <c r="A84" s="11" t="s">
        <v>361</v>
      </c>
      <c r="B84" s="11" t="s">
        <v>362</v>
      </c>
    </row>
    <row r="85" spans="1:2" ht="15" customHeight="1" x14ac:dyDescent="0.25">
      <c r="A85" s="11" t="s">
        <v>363</v>
      </c>
      <c r="B85" s="11" t="s">
        <v>364</v>
      </c>
    </row>
    <row r="86" spans="1:2" s="10" customFormat="1" ht="15" customHeight="1" x14ac:dyDescent="0.25">
      <c r="A86" s="10" t="s">
        <v>365</v>
      </c>
      <c r="B86" s="10" t="s">
        <v>366</v>
      </c>
    </row>
    <row r="87" spans="1:2" ht="15" customHeight="1" x14ac:dyDescent="0.25">
      <c r="A87" s="11" t="s">
        <v>367</v>
      </c>
      <c r="B87" s="11" t="s">
        <v>368</v>
      </c>
    </row>
    <row r="88" spans="1:2" ht="15" customHeight="1" x14ac:dyDescent="0.25">
      <c r="A88" s="11" t="s">
        <v>369</v>
      </c>
      <c r="B88" s="11" t="s">
        <v>370</v>
      </c>
    </row>
    <row r="89" spans="1:2" ht="15" customHeight="1" x14ac:dyDescent="0.25">
      <c r="A89" s="11" t="s">
        <v>371</v>
      </c>
      <c r="B89" s="11" t="s">
        <v>17</v>
      </c>
    </row>
    <row r="90" spans="1:2" ht="15" customHeight="1" x14ac:dyDescent="0.25">
      <c r="A90" s="11" t="s">
        <v>372</v>
      </c>
      <c r="B90" s="11" t="s">
        <v>373</v>
      </c>
    </row>
    <row r="91" spans="1:2" ht="15" customHeight="1" x14ac:dyDescent="0.25">
      <c r="A91" s="11" t="s">
        <v>374</v>
      </c>
      <c r="B91" s="11" t="s">
        <v>375</v>
      </c>
    </row>
    <row r="92" spans="1:2" ht="15" customHeight="1" x14ac:dyDescent="0.25">
      <c r="A92" s="11" t="s">
        <v>376</v>
      </c>
      <c r="B92" s="11" t="s">
        <v>377</v>
      </c>
    </row>
    <row r="93" spans="1:2" ht="15" customHeight="1" x14ac:dyDescent="0.25">
      <c r="A93" s="11" t="s">
        <v>378</v>
      </c>
      <c r="B93" s="11" t="s">
        <v>379</v>
      </c>
    </row>
    <row r="94" spans="1:2" ht="15" customHeight="1" x14ac:dyDescent="0.25">
      <c r="A94" s="11" t="s">
        <v>380</v>
      </c>
      <c r="B94" s="11" t="s">
        <v>381</v>
      </c>
    </row>
    <row r="95" spans="1:2" ht="15" customHeight="1" x14ac:dyDescent="0.25">
      <c r="A95" s="11" t="s">
        <v>382</v>
      </c>
      <c r="B95" s="11" t="s">
        <v>383</v>
      </c>
    </row>
    <row r="96" spans="1:2" ht="15" customHeight="1" x14ac:dyDescent="0.25">
      <c r="A96" s="11" t="s">
        <v>384</v>
      </c>
      <c r="B96" s="11" t="s">
        <v>385</v>
      </c>
    </row>
    <row r="97" spans="1:2" ht="15" customHeight="1" x14ac:dyDescent="0.25">
      <c r="A97" s="11" t="s">
        <v>386</v>
      </c>
      <c r="B97" s="11" t="s">
        <v>387</v>
      </c>
    </row>
    <row r="98" spans="1:2" ht="15" customHeight="1" x14ac:dyDescent="0.25">
      <c r="A98" s="11" t="s">
        <v>388</v>
      </c>
      <c r="B98" s="11" t="s">
        <v>389</v>
      </c>
    </row>
    <row r="99" spans="1:2" ht="15" customHeight="1" x14ac:dyDescent="0.25">
      <c r="A99" s="11" t="s">
        <v>390</v>
      </c>
      <c r="B99" s="11" t="s">
        <v>391</v>
      </c>
    </row>
    <row r="100" spans="1:2" ht="15" customHeight="1" x14ac:dyDescent="0.25">
      <c r="A100" s="11" t="s">
        <v>183</v>
      </c>
      <c r="B100" s="11" t="s">
        <v>98</v>
      </c>
    </row>
    <row r="101" spans="1:2" ht="15" customHeight="1" x14ac:dyDescent="0.25">
      <c r="A101" s="11" t="s">
        <v>392</v>
      </c>
      <c r="B101" s="11" t="s">
        <v>393</v>
      </c>
    </row>
    <row r="102" spans="1:2" s="10" customFormat="1" ht="15" customHeight="1" x14ac:dyDescent="0.25">
      <c r="A102" s="10" t="s">
        <v>394</v>
      </c>
      <c r="B102" s="10" t="s">
        <v>395</v>
      </c>
    </row>
    <row r="103" spans="1:2" ht="15" customHeight="1" x14ac:dyDescent="0.25">
      <c r="A103" s="11" t="s">
        <v>396</v>
      </c>
      <c r="B103" s="11" t="s">
        <v>397</v>
      </c>
    </row>
    <row r="104" spans="1:2" ht="15" customHeight="1" x14ac:dyDescent="0.25">
      <c r="A104" s="11" t="s">
        <v>398</v>
      </c>
      <c r="B104" s="11" t="s">
        <v>399</v>
      </c>
    </row>
    <row r="105" spans="1:2" ht="15" customHeight="1" x14ac:dyDescent="0.25">
      <c r="A105" s="11" t="s">
        <v>400</v>
      </c>
      <c r="B105" s="11" t="s">
        <v>401</v>
      </c>
    </row>
    <row r="106" spans="1:2" ht="15" customHeight="1" x14ac:dyDescent="0.25">
      <c r="A106" s="11" t="s">
        <v>402</v>
      </c>
      <c r="B106" s="11" t="s">
        <v>403</v>
      </c>
    </row>
    <row r="107" spans="1:2" ht="15" customHeight="1" x14ac:dyDescent="0.25">
      <c r="A107" s="11" t="s">
        <v>404</v>
      </c>
      <c r="B107" s="11" t="s">
        <v>405</v>
      </c>
    </row>
    <row r="108" spans="1:2" ht="15" customHeight="1" x14ac:dyDescent="0.25">
      <c r="A108" s="11" t="s">
        <v>406</v>
      </c>
      <c r="B108" s="11" t="s">
        <v>407</v>
      </c>
    </row>
    <row r="109" spans="1:2" ht="15" customHeight="1" x14ac:dyDescent="0.25">
      <c r="A109" s="11" t="s">
        <v>196</v>
      </c>
      <c r="B109" s="11" t="s">
        <v>408</v>
      </c>
    </row>
    <row r="110" spans="1:2" ht="15" customHeight="1" x14ac:dyDescent="0.25">
      <c r="A110" s="11" t="s">
        <v>409</v>
      </c>
      <c r="B110" s="11" t="s">
        <v>410</v>
      </c>
    </row>
    <row r="111" spans="1:2" ht="15" customHeight="1" x14ac:dyDescent="0.25">
      <c r="A111" s="11" t="s">
        <v>411</v>
      </c>
      <c r="B111" s="11" t="s">
        <v>20</v>
      </c>
    </row>
    <row r="112" spans="1:2" ht="15" customHeight="1" x14ac:dyDescent="0.25">
      <c r="A112" s="11" t="s">
        <v>412</v>
      </c>
      <c r="B112" s="11" t="s">
        <v>29</v>
      </c>
    </row>
    <row r="113" spans="1:2" ht="15" customHeight="1" x14ac:dyDescent="0.25">
      <c r="A113" s="11" t="s">
        <v>413</v>
      </c>
      <c r="B113" s="11" t="s">
        <v>414</v>
      </c>
    </row>
    <row r="114" spans="1:2" ht="15" customHeight="1" x14ac:dyDescent="0.25">
      <c r="A114" s="11" t="s">
        <v>415</v>
      </c>
      <c r="B114" s="11" t="s">
        <v>416</v>
      </c>
    </row>
    <row r="115" spans="1:2" ht="15" customHeight="1" x14ac:dyDescent="0.25">
      <c r="A115" s="11" t="s">
        <v>417</v>
      </c>
      <c r="B115" s="11" t="s">
        <v>418</v>
      </c>
    </row>
    <row r="116" spans="1:2" ht="15" customHeight="1" x14ac:dyDescent="0.25">
      <c r="A116" s="11" t="s">
        <v>419</v>
      </c>
      <c r="B116" s="11" t="s">
        <v>420</v>
      </c>
    </row>
    <row r="117" spans="1:2" ht="15" customHeight="1" x14ac:dyDescent="0.25">
      <c r="A117" s="11" t="s">
        <v>421</v>
      </c>
      <c r="B117" s="11" t="s">
        <v>422</v>
      </c>
    </row>
    <row r="118" spans="1:2" ht="15" customHeight="1" x14ac:dyDescent="0.25">
      <c r="A118" s="11" t="s">
        <v>423</v>
      </c>
      <c r="B118" s="11" t="s">
        <v>424</v>
      </c>
    </row>
    <row r="119" spans="1:2" ht="15" customHeight="1" x14ac:dyDescent="0.25">
      <c r="A119" s="11" t="s">
        <v>425</v>
      </c>
      <c r="B119" s="11" t="s">
        <v>426</v>
      </c>
    </row>
    <row r="120" spans="1:2" ht="15" customHeight="1" x14ac:dyDescent="0.25">
      <c r="A120" s="11" t="s">
        <v>427</v>
      </c>
      <c r="B120" s="11" t="s">
        <v>428</v>
      </c>
    </row>
    <row r="121" spans="1:2" ht="15" customHeight="1" x14ac:dyDescent="0.25">
      <c r="A121" s="11" t="s">
        <v>429</v>
      </c>
      <c r="B121" s="11" t="s">
        <v>430</v>
      </c>
    </row>
    <row r="122" spans="1:2" ht="15" customHeight="1" x14ac:dyDescent="0.25">
      <c r="A122" s="11" t="s">
        <v>431</v>
      </c>
      <c r="B122" s="11" t="s">
        <v>432</v>
      </c>
    </row>
    <row r="123" spans="1:2" ht="15" customHeight="1" x14ac:dyDescent="0.25">
      <c r="A123" s="11" t="s">
        <v>203</v>
      </c>
      <c r="B123" s="11" t="s">
        <v>433</v>
      </c>
    </row>
    <row r="124" spans="1:2" ht="15" customHeight="1" x14ac:dyDescent="0.25">
      <c r="A124" s="11" t="s">
        <v>434</v>
      </c>
      <c r="B124" s="11" t="s">
        <v>435</v>
      </c>
    </row>
    <row r="125" spans="1:2" ht="15" customHeight="1" x14ac:dyDescent="0.25">
      <c r="A125" s="11" t="s">
        <v>436</v>
      </c>
      <c r="B125" s="11" t="s">
        <v>437</v>
      </c>
    </row>
    <row r="126" spans="1:2" ht="15" customHeight="1" x14ac:dyDescent="0.25">
      <c r="A126" s="11" t="s">
        <v>438</v>
      </c>
      <c r="B126" s="11" t="s">
        <v>439</v>
      </c>
    </row>
    <row r="127" spans="1:2" ht="15" customHeight="1" x14ac:dyDescent="0.25">
      <c r="A127" s="11" t="s">
        <v>440</v>
      </c>
      <c r="B127" s="11" t="s">
        <v>441</v>
      </c>
    </row>
    <row r="128" spans="1:2" ht="15" customHeight="1" x14ac:dyDescent="0.25">
      <c r="A128" s="11" t="s">
        <v>442</v>
      </c>
      <c r="B128" s="11" t="s">
        <v>443</v>
      </c>
    </row>
    <row r="129" spans="1:2" ht="15" customHeight="1" x14ac:dyDescent="0.25">
      <c r="A129" s="11" t="s">
        <v>444</v>
      </c>
      <c r="B129" s="11" t="s">
        <v>445</v>
      </c>
    </row>
    <row r="130" spans="1:2" ht="15" customHeight="1" x14ac:dyDescent="0.25">
      <c r="A130" s="11" t="s">
        <v>446</v>
      </c>
      <c r="B130" s="11" t="s">
        <v>447</v>
      </c>
    </row>
    <row r="131" spans="1:2" ht="15" customHeight="1" x14ac:dyDescent="0.25">
      <c r="A131" s="11" t="s">
        <v>448</v>
      </c>
      <c r="B131" s="11" t="s">
        <v>449</v>
      </c>
    </row>
    <row r="132" spans="1:2" ht="15" customHeight="1" x14ac:dyDescent="0.25">
      <c r="A132" s="11" t="s">
        <v>450</v>
      </c>
      <c r="B132" s="11" t="s">
        <v>451</v>
      </c>
    </row>
    <row r="133" spans="1:2" ht="15" customHeight="1" x14ac:dyDescent="0.25">
      <c r="A133" s="11" t="s">
        <v>452</v>
      </c>
      <c r="B133" s="11" t="s">
        <v>453</v>
      </c>
    </row>
    <row r="134" spans="1:2" ht="15" customHeight="1" x14ac:dyDescent="0.25">
      <c r="A134" s="11" t="s">
        <v>454</v>
      </c>
      <c r="B134" s="11" t="s">
        <v>455</v>
      </c>
    </row>
    <row r="135" spans="1:2" ht="15" customHeight="1" x14ac:dyDescent="0.25">
      <c r="A135" s="11" t="s">
        <v>456</v>
      </c>
      <c r="B135" s="11" t="s">
        <v>457</v>
      </c>
    </row>
    <row r="136" spans="1:2" ht="15" customHeight="1" x14ac:dyDescent="0.25">
      <c r="A136" s="11" t="s">
        <v>458</v>
      </c>
      <c r="B136" s="11" t="s">
        <v>459</v>
      </c>
    </row>
    <row r="137" spans="1:2" s="10" customFormat="1" ht="15" customHeight="1" x14ac:dyDescent="0.25">
      <c r="A137" s="10" t="s">
        <v>460</v>
      </c>
      <c r="B137" s="10" t="s">
        <v>461</v>
      </c>
    </row>
    <row r="138" spans="1:2" ht="15" customHeight="1" x14ac:dyDescent="0.25">
      <c r="A138" s="11" t="s">
        <v>462</v>
      </c>
      <c r="B138" s="11" t="s">
        <v>463</v>
      </c>
    </row>
    <row r="139" spans="1:2" ht="15" customHeight="1" x14ac:dyDescent="0.25">
      <c r="A139" s="11" t="s">
        <v>464</v>
      </c>
      <c r="B139" s="11" t="s">
        <v>465</v>
      </c>
    </row>
    <row r="140" spans="1:2" ht="15" customHeight="1" x14ac:dyDescent="0.25">
      <c r="A140" s="11" t="s">
        <v>466</v>
      </c>
      <c r="B140" s="11" t="s">
        <v>55</v>
      </c>
    </row>
    <row r="141" spans="1:2" s="10" customFormat="1" ht="15" customHeight="1" x14ac:dyDescent="0.25">
      <c r="A141" s="10" t="s">
        <v>467</v>
      </c>
      <c r="B141" s="10" t="s">
        <v>468</v>
      </c>
    </row>
    <row r="142" spans="1:2" ht="15" customHeight="1" x14ac:dyDescent="0.25">
      <c r="A142" s="11" t="s">
        <v>469</v>
      </c>
      <c r="B142" s="11" t="s">
        <v>470</v>
      </c>
    </row>
    <row r="143" spans="1:2" ht="15" customHeight="1" x14ac:dyDescent="0.25">
      <c r="A143" s="11" t="s">
        <v>199</v>
      </c>
      <c r="B143" s="11" t="s">
        <v>471</v>
      </c>
    </row>
    <row r="144" spans="1:2" s="10" customFormat="1" ht="15" customHeight="1" x14ac:dyDescent="0.25">
      <c r="A144" s="10" t="s">
        <v>204</v>
      </c>
      <c r="B144" s="10" t="s">
        <v>472</v>
      </c>
    </row>
    <row r="145" spans="1:2" ht="15" customHeight="1" x14ac:dyDescent="0.25">
      <c r="A145" s="11" t="s">
        <v>473</v>
      </c>
      <c r="B145" s="11" t="s">
        <v>474</v>
      </c>
    </row>
    <row r="146" spans="1:2" ht="15" customHeight="1" x14ac:dyDescent="0.25">
      <c r="A146" s="11" t="s">
        <v>8</v>
      </c>
      <c r="B146" s="11" t="s">
        <v>475</v>
      </c>
    </row>
    <row r="147" spans="1:2" ht="15" customHeight="1" x14ac:dyDescent="0.25">
      <c r="A147" s="11" t="s">
        <v>476</v>
      </c>
      <c r="B147" s="11" t="s">
        <v>477</v>
      </c>
    </row>
    <row r="148" spans="1:2" ht="15" customHeight="1" x14ac:dyDescent="0.25">
      <c r="A148" s="11" t="s">
        <v>478</v>
      </c>
      <c r="B148" s="11" t="s">
        <v>479</v>
      </c>
    </row>
    <row r="149" spans="1:2" ht="15" customHeight="1" x14ac:dyDescent="0.25">
      <c r="A149" s="11" t="s">
        <v>480</v>
      </c>
      <c r="B149" s="11" t="s">
        <v>481</v>
      </c>
    </row>
    <row r="150" spans="1:2" ht="15" customHeight="1" x14ac:dyDescent="0.25">
      <c r="A150" s="11" t="s">
        <v>482</v>
      </c>
      <c r="B150" s="11" t="s">
        <v>483</v>
      </c>
    </row>
    <row r="151" spans="1:2" ht="15" customHeight="1" x14ac:dyDescent="0.25">
      <c r="A151" s="11" t="s">
        <v>484</v>
      </c>
      <c r="B151" s="11" t="s">
        <v>485</v>
      </c>
    </row>
    <row r="152" spans="1:2" ht="15" customHeight="1" x14ac:dyDescent="0.25">
      <c r="A152" s="11" t="s">
        <v>486</v>
      </c>
      <c r="B152" s="11" t="s">
        <v>9</v>
      </c>
    </row>
    <row r="153" spans="1:2" ht="15" customHeight="1" x14ac:dyDescent="0.25">
      <c r="A153" s="11" t="s">
        <v>487</v>
      </c>
      <c r="B153" s="11" t="s">
        <v>10</v>
      </c>
    </row>
    <row r="154" spans="1:2" ht="15" customHeight="1" x14ac:dyDescent="0.25">
      <c r="A154" s="11" t="s">
        <v>488</v>
      </c>
      <c r="B154" s="11" t="s">
        <v>489</v>
      </c>
    </row>
    <row r="155" spans="1:2" ht="15" customHeight="1" x14ac:dyDescent="0.25">
      <c r="A155" s="11" t="s">
        <v>490</v>
      </c>
      <c r="B155" s="11" t="s">
        <v>491</v>
      </c>
    </row>
    <row r="156" spans="1:2" ht="15" customHeight="1" x14ac:dyDescent="0.25">
      <c r="A156" s="11" t="s">
        <v>492</v>
      </c>
      <c r="B156" s="11" t="s">
        <v>493</v>
      </c>
    </row>
    <row r="157" spans="1:2" ht="15" customHeight="1" x14ac:dyDescent="0.25">
      <c r="A157" s="11" t="s">
        <v>494</v>
      </c>
      <c r="B157" s="11" t="s">
        <v>495</v>
      </c>
    </row>
    <row r="158" spans="1:2" ht="15" customHeight="1" x14ac:dyDescent="0.25">
      <c r="A158" s="11" t="s">
        <v>496</v>
      </c>
      <c r="B158" s="11" t="s">
        <v>497</v>
      </c>
    </row>
    <row r="159" spans="1:2" ht="15" customHeight="1" x14ac:dyDescent="0.25">
      <c r="A159" s="11" t="s">
        <v>498</v>
      </c>
      <c r="B159" s="11" t="s">
        <v>499</v>
      </c>
    </row>
    <row r="160" spans="1:2" ht="15" customHeight="1" x14ac:dyDescent="0.25">
      <c r="A160" s="11" t="s">
        <v>500</v>
      </c>
      <c r="B160" s="11" t="s">
        <v>501</v>
      </c>
    </row>
    <row r="161" spans="1:2" ht="15" customHeight="1" x14ac:dyDescent="0.25">
      <c r="A161" s="11" t="s">
        <v>502</v>
      </c>
      <c r="B161" s="11" t="s">
        <v>503</v>
      </c>
    </row>
    <row r="162" spans="1:2" ht="15" customHeight="1" x14ac:dyDescent="0.25">
      <c r="A162" s="11" t="s">
        <v>504</v>
      </c>
      <c r="B162" s="11" t="s">
        <v>505</v>
      </c>
    </row>
    <row r="163" spans="1:2" ht="15" customHeight="1" x14ac:dyDescent="0.25">
      <c r="A163" s="11" t="s">
        <v>506</v>
      </c>
      <c r="B163" s="11" t="s">
        <v>507</v>
      </c>
    </row>
    <row r="164" spans="1:2" ht="15" customHeight="1" x14ac:dyDescent="0.25">
      <c r="A164" s="11" t="s">
        <v>508</v>
      </c>
      <c r="B164" s="11" t="s">
        <v>509</v>
      </c>
    </row>
    <row r="165" spans="1:2" ht="15" customHeight="1" x14ac:dyDescent="0.25">
      <c r="A165" s="11" t="s">
        <v>510</v>
      </c>
      <c r="B165" s="11" t="s">
        <v>511</v>
      </c>
    </row>
    <row r="166" spans="1:2" ht="15" customHeight="1" x14ac:dyDescent="0.25">
      <c r="A166" s="11" t="s">
        <v>512</v>
      </c>
      <c r="B166" s="11" t="s">
        <v>513</v>
      </c>
    </row>
    <row r="167" spans="1:2" ht="15" customHeight="1" x14ac:dyDescent="0.25">
      <c r="A167" s="11" t="s">
        <v>514</v>
      </c>
      <c r="B167" s="11" t="s">
        <v>515</v>
      </c>
    </row>
    <row r="168" spans="1:2" ht="15" customHeight="1" x14ac:dyDescent="0.25">
      <c r="A168" s="11" t="s">
        <v>516</v>
      </c>
      <c r="B168" s="11" t="s">
        <v>52</v>
      </c>
    </row>
    <row r="169" spans="1:2" ht="15" customHeight="1" x14ac:dyDescent="0.25">
      <c r="A169" s="11" t="s">
        <v>517</v>
      </c>
      <c r="B169" s="11" t="s">
        <v>518</v>
      </c>
    </row>
    <row r="170" spans="1:2" ht="15" customHeight="1" x14ac:dyDescent="0.25">
      <c r="A170" s="11" t="s">
        <v>519</v>
      </c>
      <c r="B170" s="11" t="s">
        <v>520</v>
      </c>
    </row>
    <row r="171" spans="1:2" ht="15" customHeight="1" x14ac:dyDescent="0.25">
      <c r="A171" s="11" t="s">
        <v>521</v>
      </c>
      <c r="B171" s="11" t="s">
        <v>522</v>
      </c>
    </row>
    <row r="172" spans="1:2" ht="15" customHeight="1" x14ac:dyDescent="0.25">
      <c r="A172" s="11" t="s">
        <v>523</v>
      </c>
      <c r="B172" s="11" t="s">
        <v>524</v>
      </c>
    </row>
    <row r="173" spans="1:2" ht="15" customHeight="1" x14ac:dyDescent="0.25">
      <c r="A173" s="11" t="s">
        <v>525</v>
      </c>
      <c r="B173" s="11" t="s">
        <v>526</v>
      </c>
    </row>
    <row r="174" spans="1:2" ht="15" customHeight="1" x14ac:dyDescent="0.25">
      <c r="A174" s="11" t="s">
        <v>527</v>
      </c>
      <c r="B174" s="11" t="s">
        <v>528</v>
      </c>
    </row>
    <row r="175" spans="1:2" ht="15" customHeight="1" x14ac:dyDescent="0.25">
      <c r="A175" s="11" t="s">
        <v>529</v>
      </c>
      <c r="B175" s="11" t="s">
        <v>530</v>
      </c>
    </row>
    <row r="176" spans="1:2" ht="15" customHeight="1" x14ac:dyDescent="0.25">
      <c r="A176" s="11" t="s">
        <v>531</v>
      </c>
      <c r="B176" s="11" t="s">
        <v>48</v>
      </c>
    </row>
    <row r="177" spans="1:2" ht="15" customHeight="1" x14ac:dyDescent="0.25">
      <c r="A177" s="11" t="s">
        <v>532</v>
      </c>
      <c r="B177" s="11" t="s">
        <v>533</v>
      </c>
    </row>
    <row r="178" spans="1:2" ht="15" customHeight="1" x14ac:dyDescent="0.25">
      <c r="A178" s="11" t="s">
        <v>534</v>
      </c>
      <c r="B178" s="11" t="s">
        <v>535</v>
      </c>
    </row>
    <row r="179" spans="1:2" ht="15" customHeight="1" x14ac:dyDescent="0.25">
      <c r="A179" s="11" t="s">
        <v>536</v>
      </c>
      <c r="B179" s="11" t="s">
        <v>537</v>
      </c>
    </row>
    <row r="180" spans="1:2" ht="15" customHeight="1" x14ac:dyDescent="0.25">
      <c r="A180" s="11" t="s">
        <v>538</v>
      </c>
      <c r="B180" s="118" t="s">
        <v>2407</v>
      </c>
    </row>
    <row r="181" spans="1:2" ht="15" customHeight="1" x14ac:dyDescent="0.25">
      <c r="A181" s="11" t="s">
        <v>539</v>
      </c>
      <c r="B181" s="11" t="s">
        <v>540</v>
      </c>
    </row>
    <row r="182" spans="1:2" ht="15" customHeight="1" x14ac:dyDescent="0.25">
      <c r="A182" s="11" t="s">
        <v>541</v>
      </c>
      <c r="B182" s="11" t="s">
        <v>542</v>
      </c>
    </row>
    <row r="183" spans="1:2" ht="15" customHeight="1" x14ac:dyDescent="0.25">
      <c r="A183" s="11" t="s">
        <v>543</v>
      </c>
      <c r="B183" s="11" t="s">
        <v>544</v>
      </c>
    </row>
    <row r="184" spans="1:2" ht="15" customHeight="1" x14ac:dyDescent="0.25">
      <c r="A184" s="11" t="s">
        <v>545</v>
      </c>
      <c r="B184" s="11" t="s">
        <v>546</v>
      </c>
    </row>
    <row r="185" spans="1:2" ht="15" customHeight="1" x14ac:dyDescent="0.25">
      <c r="A185" s="11" t="s">
        <v>547</v>
      </c>
      <c r="B185" s="11" t="s">
        <v>548</v>
      </c>
    </row>
    <row r="186" spans="1:2" ht="15" customHeight="1" x14ac:dyDescent="0.25">
      <c r="A186" s="11" t="s">
        <v>195</v>
      </c>
      <c r="B186" s="11" t="s">
        <v>549</v>
      </c>
    </row>
    <row r="187" spans="1:2" ht="15" customHeight="1" x14ac:dyDescent="0.25">
      <c r="A187" s="11" t="s">
        <v>197</v>
      </c>
      <c r="B187" s="11" t="s">
        <v>550</v>
      </c>
    </row>
    <row r="188" spans="1:2" ht="15" customHeight="1" x14ac:dyDescent="0.25">
      <c r="A188" s="11" t="s">
        <v>551</v>
      </c>
      <c r="B188" s="11" t="s">
        <v>23</v>
      </c>
    </row>
    <row r="189" spans="1:2" ht="15" customHeight="1" x14ac:dyDescent="0.25">
      <c r="A189" s="11" t="s">
        <v>552</v>
      </c>
      <c r="B189" s="11" t="s">
        <v>553</v>
      </c>
    </row>
    <row r="190" spans="1:2" ht="15" customHeight="1" x14ac:dyDescent="0.25">
      <c r="A190" s="11" t="s">
        <v>554</v>
      </c>
      <c r="B190" s="11" t="s">
        <v>555</v>
      </c>
    </row>
    <row r="191" spans="1:2" ht="15" customHeight="1" x14ac:dyDescent="0.25">
      <c r="A191" s="11" t="s">
        <v>556</v>
      </c>
      <c r="B191" s="11" t="s">
        <v>557</v>
      </c>
    </row>
    <row r="192" spans="1:2" ht="15" customHeight="1" x14ac:dyDescent="0.25">
      <c r="A192" s="11" t="s">
        <v>558</v>
      </c>
      <c r="B192" s="11" t="s">
        <v>559</v>
      </c>
    </row>
    <row r="193" spans="1:2" ht="15" customHeight="1" x14ac:dyDescent="0.25">
      <c r="A193" s="11" t="s">
        <v>560</v>
      </c>
      <c r="B193" s="11" t="s">
        <v>561</v>
      </c>
    </row>
    <row r="194" spans="1:2" ht="15" customHeight="1" x14ac:dyDescent="0.25">
      <c r="A194" s="11" t="s">
        <v>562</v>
      </c>
      <c r="B194" s="11" t="s">
        <v>563</v>
      </c>
    </row>
    <row r="195" spans="1:2" ht="15" customHeight="1" x14ac:dyDescent="0.25">
      <c r="A195" s="11" t="s">
        <v>564</v>
      </c>
      <c r="B195" s="11" t="s">
        <v>565</v>
      </c>
    </row>
    <row r="196" spans="1:2" ht="15" customHeight="1" x14ac:dyDescent="0.25">
      <c r="A196" s="11" t="s">
        <v>566</v>
      </c>
      <c r="B196" s="11" t="s">
        <v>567</v>
      </c>
    </row>
    <row r="197" spans="1:2" ht="15" customHeight="1" x14ac:dyDescent="0.25">
      <c r="A197" s="11" t="s">
        <v>209</v>
      </c>
      <c r="B197" s="11" t="s">
        <v>568</v>
      </c>
    </row>
    <row r="198" spans="1:2" ht="15" customHeight="1" x14ac:dyDescent="0.25">
      <c r="A198" s="11" t="s">
        <v>210</v>
      </c>
      <c r="B198" s="11" t="s">
        <v>569</v>
      </c>
    </row>
    <row r="199" spans="1:2" ht="15" customHeight="1" x14ac:dyDescent="0.25">
      <c r="A199" s="11" t="s">
        <v>570</v>
      </c>
      <c r="B199" s="11" t="s">
        <v>571</v>
      </c>
    </row>
    <row r="200" spans="1:2" ht="15" customHeight="1" x14ac:dyDescent="0.25">
      <c r="A200" s="11" t="s">
        <v>572</v>
      </c>
      <c r="B200" s="11" t="s">
        <v>573</v>
      </c>
    </row>
    <row r="201" spans="1:2" ht="15" customHeight="1" x14ac:dyDescent="0.25">
      <c r="A201" s="11" t="s">
        <v>211</v>
      </c>
      <c r="B201" s="11" t="s">
        <v>574</v>
      </c>
    </row>
    <row r="202" spans="1:2" ht="15" customHeight="1" x14ac:dyDescent="0.25">
      <c r="A202" s="11" t="s">
        <v>575</v>
      </c>
      <c r="B202" s="11" t="s">
        <v>576</v>
      </c>
    </row>
    <row r="203" spans="1:2" ht="15" customHeight="1" x14ac:dyDescent="0.25">
      <c r="A203" s="11" t="s">
        <v>577</v>
      </c>
      <c r="B203" s="11" t="s">
        <v>578</v>
      </c>
    </row>
    <row r="204" spans="1:2" ht="15" customHeight="1" x14ac:dyDescent="0.25">
      <c r="A204" s="11" t="s">
        <v>579</v>
      </c>
      <c r="B204" s="11" t="s">
        <v>580</v>
      </c>
    </row>
    <row r="205" spans="1:2" ht="15" customHeight="1" x14ac:dyDescent="0.25">
      <c r="A205" s="11" t="s">
        <v>581</v>
      </c>
      <c r="B205" s="11" t="s">
        <v>582</v>
      </c>
    </row>
    <row r="206" spans="1:2" ht="15" customHeight="1" x14ac:dyDescent="0.25">
      <c r="A206" s="11" t="s">
        <v>583</v>
      </c>
      <c r="B206" s="11" t="s">
        <v>584</v>
      </c>
    </row>
    <row r="207" spans="1:2" ht="15" customHeight="1" x14ac:dyDescent="0.25">
      <c r="A207" s="11" t="s">
        <v>585</v>
      </c>
      <c r="B207" s="11" t="s">
        <v>586</v>
      </c>
    </row>
    <row r="208" spans="1:2" ht="15" customHeight="1" x14ac:dyDescent="0.25">
      <c r="A208" s="11" t="s">
        <v>587</v>
      </c>
      <c r="B208" s="11" t="s">
        <v>588</v>
      </c>
    </row>
    <row r="209" spans="1:2" ht="15" customHeight="1" x14ac:dyDescent="0.25">
      <c r="A209" s="11" t="s">
        <v>589</v>
      </c>
      <c r="B209" s="11" t="s">
        <v>590</v>
      </c>
    </row>
    <row r="210" spans="1:2" ht="15" customHeight="1" x14ac:dyDescent="0.25">
      <c r="A210" s="11" t="s">
        <v>591</v>
      </c>
      <c r="B210" s="11" t="s">
        <v>592</v>
      </c>
    </row>
    <row r="211" spans="1:2" ht="15" customHeight="1" x14ac:dyDescent="0.25">
      <c r="A211" s="11" t="s">
        <v>593</v>
      </c>
      <c r="B211" s="11" t="s">
        <v>594</v>
      </c>
    </row>
    <row r="212" spans="1:2" ht="15" customHeight="1" x14ac:dyDescent="0.25">
      <c r="A212" s="11" t="s">
        <v>595</v>
      </c>
      <c r="B212" s="11" t="s">
        <v>596</v>
      </c>
    </row>
    <row r="213" spans="1:2" ht="15" customHeight="1" x14ac:dyDescent="0.25">
      <c r="A213" s="11" t="s">
        <v>597</v>
      </c>
      <c r="B213" s="11" t="s">
        <v>598</v>
      </c>
    </row>
    <row r="214" spans="1:2" ht="15" customHeight="1" x14ac:dyDescent="0.25">
      <c r="A214" s="11" t="s">
        <v>599</v>
      </c>
      <c r="B214" s="11" t="s">
        <v>600</v>
      </c>
    </row>
    <row r="215" spans="1:2" ht="15" customHeight="1" x14ac:dyDescent="0.25">
      <c r="A215" s="11" t="s">
        <v>206</v>
      </c>
      <c r="B215" s="11" t="s">
        <v>601</v>
      </c>
    </row>
    <row r="216" spans="1:2" ht="15" customHeight="1" x14ac:dyDescent="0.25">
      <c r="A216" s="11" t="s">
        <v>602</v>
      </c>
      <c r="B216" s="11" t="s">
        <v>603</v>
      </c>
    </row>
    <row r="217" spans="1:2" ht="15" customHeight="1" x14ac:dyDescent="0.25">
      <c r="A217" s="11" t="s">
        <v>604</v>
      </c>
      <c r="B217" s="11" t="s">
        <v>605</v>
      </c>
    </row>
    <row r="218" spans="1:2" ht="15" customHeight="1" x14ac:dyDescent="0.25">
      <c r="A218" s="105" t="s">
        <v>2130</v>
      </c>
      <c r="B218" s="105" t="s">
        <v>1891</v>
      </c>
    </row>
    <row r="219" spans="1:2" ht="15" customHeight="1" x14ac:dyDescent="0.25">
      <c r="A219" s="105" t="s">
        <v>2131</v>
      </c>
      <c r="B219" s="105" t="s">
        <v>1892</v>
      </c>
    </row>
    <row r="220" spans="1:2" ht="15" customHeight="1" x14ac:dyDescent="0.25">
      <c r="A220" s="105" t="s">
        <v>1914</v>
      </c>
      <c r="B220" s="105" t="s">
        <v>1912</v>
      </c>
    </row>
    <row r="221" spans="1:2" ht="15" customHeight="1" x14ac:dyDescent="0.25">
      <c r="A221" s="105" t="s">
        <v>1915</v>
      </c>
      <c r="B221" s="105" t="s">
        <v>1913</v>
      </c>
    </row>
    <row r="222" spans="1:2" ht="15" customHeight="1" x14ac:dyDescent="0.25">
      <c r="A222" s="105" t="s">
        <v>2083</v>
      </c>
      <c r="B222" s="105" t="s">
        <v>2084</v>
      </c>
    </row>
    <row r="223" spans="1:2" ht="15" customHeight="1" x14ac:dyDescent="0.25">
      <c r="A223" s="105" t="s">
        <v>2090</v>
      </c>
      <c r="B223" s="105" t="s">
        <v>2091</v>
      </c>
    </row>
    <row r="224" spans="1:2" ht="15" customHeight="1" x14ac:dyDescent="0.25">
      <c r="A224" s="105" t="s">
        <v>2098</v>
      </c>
      <c r="B224" s="105" t="s">
        <v>2099</v>
      </c>
    </row>
    <row r="225" spans="1:2" ht="15" customHeight="1" x14ac:dyDescent="0.25">
      <c r="A225" s="118" t="s">
        <v>2231</v>
      </c>
      <c r="B225" s="118" t="s">
        <v>2230</v>
      </c>
    </row>
    <row r="226" spans="1:2" ht="15" customHeight="1" x14ac:dyDescent="0.25">
      <c r="A226" s="118" t="s">
        <v>2232</v>
      </c>
      <c r="B226" s="118" t="s">
        <v>2233</v>
      </c>
    </row>
    <row r="227" spans="1:2" ht="15" customHeight="1" x14ac:dyDescent="0.25">
      <c r="A227" s="118" t="s">
        <v>2420</v>
      </c>
      <c r="B227" s="118" t="s">
        <v>2421</v>
      </c>
    </row>
  </sheetData>
  <phoneticPr fontId="11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80"/>
  <sheetViews>
    <sheetView showGridLines="0" zoomScale="70" zoomScaleNormal="70" workbookViewId="0">
      <selection activeCell="E20" sqref="E20"/>
    </sheetView>
  </sheetViews>
  <sheetFormatPr defaultColWidth="5.77734375" defaultRowHeight="24" customHeight="1" x14ac:dyDescent="0.25"/>
  <cols>
    <col min="1" max="2" width="30.77734375" style="6" customWidth="1"/>
    <col min="3" max="16384" width="5.77734375" style="6"/>
  </cols>
  <sheetData>
    <row r="1" spans="1:2" ht="24" customHeight="1" x14ac:dyDescent="0.45">
      <c r="A1" s="7" t="s">
        <v>606</v>
      </c>
      <c r="B1" s="7" t="s">
        <v>607</v>
      </c>
    </row>
    <row r="2" spans="1:2" ht="24" customHeight="1" x14ac:dyDescent="0.25">
      <c r="A2" s="8" t="s">
        <v>608</v>
      </c>
      <c r="B2" s="8" t="s">
        <v>126</v>
      </c>
    </row>
    <row r="3" spans="1:2" ht="24" customHeight="1" x14ac:dyDescent="0.25">
      <c r="A3" s="8" t="s">
        <v>608</v>
      </c>
      <c r="B3" s="8" t="s">
        <v>145</v>
      </c>
    </row>
    <row r="4" spans="1:2" ht="24" customHeight="1" x14ac:dyDescent="0.25">
      <c r="A4" s="8" t="s">
        <v>608</v>
      </c>
      <c r="B4" s="9" t="s">
        <v>139</v>
      </c>
    </row>
    <row r="5" spans="1:2" ht="24" customHeight="1" x14ac:dyDescent="0.25">
      <c r="A5" s="9" t="s">
        <v>609</v>
      </c>
      <c r="B5" s="9" t="s">
        <v>610</v>
      </c>
    </row>
    <row r="6" spans="1:2" ht="24" customHeight="1" x14ac:dyDescent="0.25">
      <c r="A6" s="9" t="s">
        <v>609</v>
      </c>
      <c r="B6" s="9" t="s">
        <v>611</v>
      </c>
    </row>
    <row r="7" spans="1:2" ht="24" customHeight="1" x14ac:dyDescent="0.25">
      <c r="A7" s="9" t="s">
        <v>609</v>
      </c>
      <c r="B7" s="9" t="s">
        <v>612</v>
      </c>
    </row>
    <row r="8" spans="1:2" ht="24" customHeight="1" x14ac:dyDescent="0.25">
      <c r="A8" s="9" t="s">
        <v>613</v>
      </c>
      <c r="B8" s="9" t="s">
        <v>614</v>
      </c>
    </row>
    <row r="9" spans="1:2" ht="24" customHeight="1" x14ac:dyDescent="0.25">
      <c r="A9" s="9" t="s">
        <v>613</v>
      </c>
      <c r="B9" s="9" t="s">
        <v>615</v>
      </c>
    </row>
    <row r="10" spans="1:2" ht="24" customHeight="1" x14ac:dyDescent="0.25">
      <c r="A10" s="9" t="s">
        <v>613</v>
      </c>
      <c r="B10" s="9" t="s">
        <v>616</v>
      </c>
    </row>
    <row r="11" spans="1:2" ht="24" customHeight="1" x14ac:dyDescent="0.25">
      <c r="A11" s="9" t="s">
        <v>617</v>
      </c>
      <c r="B11" s="9" t="s">
        <v>618</v>
      </c>
    </row>
    <row r="12" spans="1:2" ht="24" customHeight="1" x14ac:dyDescent="0.25">
      <c r="A12" s="9"/>
      <c r="B12" s="9" t="s">
        <v>619</v>
      </c>
    </row>
    <row r="13" spans="1:2" ht="24" customHeight="1" x14ac:dyDescent="0.25">
      <c r="A13" s="9"/>
      <c r="B13" s="9" t="s">
        <v>620</v>
      </c>
    </row>
    <row r="14" spans="1:2" ht="24" customHeight="1" x14ac:dyDescent="0.25">
      <c r="A14" s="9"/>
      <c r="B14" s="9" t="s">
        <v>621</v>
      </c>
    </row>
    <row r="15" spans="1:2" ht="24" customHeight="1" x14ac:dyDescent="0.25">
      <c r="A15" s="9"/>
      <c r="B15" s="9" t="s">
        <v>622</v>
      </c>
    </row>
    <row r="16" spans="1:2" ht="24" customHeight="1" x14ac:dyDescent="0.25">
      <c r="A16" s="9"/>
      <c r="B16" s="9" t="s">
        <v>623</v>
      </c>
    </row>
    <row r="17" spans="1:2" ht="24" customHeight="1" x14ac:dyDescent="0.25">
      <c r="A17" s="9"/>
      <c r="B17" s="9" t="s">
        <v>624</v>
      </c>
    </row>
    <row r="18" spans="1:2" ht="24" customHeight="1" x14ac:dyDescent="0.25">
      <c r="A18" s="9"/>
      <c r="B18" s="9" t="s">
        <v>140</v>
      </c>
    </row>
    <row r="19" spans="1:2" ht="24" customHeight="1" x14ac:dyDescent="0.25">
      <c r="A19" s="9"/>
      <c r="B19" s="9" t="s">
        <v>165</v>
      </c>
    </row>
    <row r="20" spans="1:2" ht="24" customHeight="1" x14ac:dyDescent="0.25">
      <c r="A20" s="9"/>
      <c r="B20" s="9" t="s">
        <v>114</v>
      </c>
    </row>
    <row r="21" spans="1:2" ht="24" customHeight="1" x14ac:dyDescent="0.25">
      <c r="A21" s="9"/>
      <c r="B21" s="9" t="s">
        <v>150</v>
      </c>
    </row>
    <row r="22" spans="1:2" ht="24" customHeight="1" x14ac:dyDescent="0.25">
      <c r="A22" s="9"/>
      <c r="B22" s="9" t="s">
        <v>110</v>
      </c>
    </row>
    <row r="23" spans="1:2" ht="24" customHeight="1" x14ac:dyDescent="0.25">
      <c r="A23" s="9"/>
      <c r="B23" s="9" t="s">
        <v>625</v>
      </c>
    </row>
    <row r="24" spans="1:2" ht="24" customHeight="1" x14ac:dyDescent="0.25">
      <c r="A24" s="9"/>
      <c r="B24" s="9" t="s">
        <v>125</v>
      </c>
    </row>
    <row r="25" spans="1:2" ht="24" customHeight="1" x14ac:dyDescent="0.25">
      <c r="A25" s="9"/>
      <c r="B25" s="9" t="s">
        <v>120</v>
      </c>
    </row>
    <row r="26" spans="1:2" ht="24" customHeight="1" x14ac:dyDescent="0.25">
      <c r="A26" s="9"/>
      <c r="B26" s="9" t="s">
        <v>626</v>
      </c>
    </row>
    <row r="27" spans="1:2" ht="24" customHeight="1" x14ac:dyDescent="0.25">
      <c r="A27" s="9"/>
      <c r="B27" s="9" t="s">
        <v>627</v>
      </c>
    </row>
    <row r="28" spans="1:2" ht="24" customHeight="1" x14ac:dyDescent="0.25">
      <c r="A28" s="9"/>
      <c r="B28" s="9" t="s">
        <v>628</v>
      </c>
    </row>
    <row r="29" spans="1:2" ht="24" customHeight="1" x14ac:dyDescent="0.25">
      <c r="A29" s="9"/>
      <c r="B29" s="9" t="s">
        <v>629</v>
      </c>
    </row>
    <row r="30" spans="1:2" ht="24" customHeight="1" x14ac:dyDescent="0.25">
      <c r="A30" s="9"/>
      <c r="B30" s="9" t="s">
        <v>630</v>
      </c>
    </row>
    <row r="31" spans="1:2" ht="24" customHeight="1" x14ac:dyDescent="0.25">
      <c r="A31" s="9"/>
      <c r="B31" s="9" t="s">
        <v>631</v>
      </c>
    </row>
    <row r="32" spans="1:2" ht="24" customHeight="1" x14ac:dyDescent="0.25">
      <c r="A32" s="9"/>
      <c r="B32" s="9" t="s">
        <v>632</v>
      </c>
    </row>
    <row r="33" spans="1:2" ht="24" customHeight="1" x14ac:dyDescent="0.25">
      <c r="A33" s="9"/>
      <c r="B33" s="9" t="s">
        <v>633</v>
      </c>
    </row>
    <row r="34" spans="1:2" ht="24" customHeight="1" x14ac:dyDescent="0.25">
      <c r="A34" s="9"/>
      <c r="B34" s="9" t="s">
        <v>634</v>
      </c>
    </row>
    <row r="35" spans="1:2" ht="24" customHeight="1" x14ac:dyDescent="0.25">
      <c r="A35" s="9"/>
      <c r="B35" s="9" t="s">
        <v>635</v>
      </c>
    </row>
    <row r="36" spans="1:2" ht="24" customHeight="1" x14ac:dyDescent="0.25">
      <c r="A36" s="9"/>
      <c r="B36" s="9" t="s">
        <v>636</v>
      </c>
    </row>
    <row r="37" spans="1:2" ht="24" customHeight="1" x14ac:dyDescent="0.25">
      <c r="A37" s="9"/>
      <c r="B37" s="9" t="s">
        <v>637</v>
      </c>
    </row>
    <row r="38" spans="1:2" ht="24" customHeight="1" x14ac:dyDescent="0.25">
      <c r="A38" s="9"/>
      <c r="B38" s="9" t="s">
        <v>638</v>
      </c>
    </row>
    <row r="39" spans="1:2" ht="24" customHeight="1" x14ac:dyDescent="0.25">
      <c r="A39" s="9"/>
      <c r="B39" s="9" t="s">
        <v>639</v>
      </c>
    </row>
    <row r="40" spans="1:2" ht="24" customHeight="1" x14ac:dyDescent="0.25">
      <c r="A40" s="9"/>
      <c r="B40" s="9" t="s">
        <v>640</v>
      </c>
    </row>
    <row r="41" spans="1:2" ht="24" customHeight="1" x14ac:dyDescent="0.25">
      <c r="A41" s="9"/>
      <c r="B41" s="9" t="s">
        <v>641</v>
      </c>
    </row>
    <row r="42" spans="1:2" ht="24" customHeight="1" x14ac:dyDescent="0.25">
      <c r="A42" s="9"/>
      <c r="B42" s="9" t="s">
        <v>642</v>
      </c>
    </row>
    <row r="43" spans="1:2" ht="24" customHeight="1" x14ac:dyDescent="0.25">
      <c r="A43" s="9"/>
      <c r="B43" s="9" t="s">
        <v>643</v>
      </c>
    </row>
    <row r="44" spans="1:2" ht="24" customHeight="1" x14ac:dyDescent="0.25">
      <c r="A44" s="9"/>
      <c r="B44" s="9" t="s">
        <v>644</v>
      </c>
    </row>
    <row r="45" spans="1:2" ht="24" customHeight="1" x14ac:dyDescent="0.25">
      <c r="A45" s="9"/>
      <c r="B45" s="9" t="s">
        <v>645</v>
      </c>
    </row>
    <row r="46" spans="1:2" ht="24" customHeight="1" x14ac:dyDescent="0.25">
      <c r="A46" s="9"/>
      <c r="B46" s="9" t="s">
        <v>646</v>
      </c>
    </row>
    <row r="47" spans="1:2" ht="24" customHeight="1" x14ac:dyDescent="0.25">
      <c r="A47" s="9"/>
      <c r="B47" s="9" t="s">
        <v>647</v>
      </c>
    </row>
    <row r="48" spans="1:2" ht="24" customHeight="1" x14ac:dyDescent="0.25">
      <c r="A48" s="9"/>
      <c r="B48" s="9" t="s">
        <v>648</v>
      </c>
    </row>
    <row r="49" spans="1:2" ht="24" customHeight="1" x14ac:dyDescent="0.25">
      <c r="A49" s="9"/>
      <c r="B49" s="9" t="s">
        <v>649</v>
      </c>
    </row>
    <row r="50" spans="1:2" ht="24" customHeight="1" x14ac:dyDescent="0.25">
      <c r="A50" s="9"/>
      <c r="B50" s="9" t="s">
        <v>650</v>
      </c>
    </row>
    <row r="51" spans="1:2" ht="24" customHeight="1" x14ac:dyDescent="0.25">
      <c r="A51" s="9"/>
      <c r="B51" s="9" t="s">
        <v>651</v>
      </c>
    </row>
    <row r="52" spans="1:2" ht="24" customHeight="1" x14ac:dyDescent="0.25">
      <c r="A52" s="9"/>
      <c r="B52" s="9" t="s">
        <v>652</v>
      </c>
    </row>
    <row r="53" spans="1:2" ht="24" customHeight="1" x14ac:dyDescent="0.25">
      <c r="A53" s="9"/>
      <c r="B53" s="9" t="s">
        <v>653</v>
      </c>
    </row>
    <row r="54" spans="1:2" ht="24" customHeight="1" x14ac:dyDescent="0.25">
      <c r="A54" s="9"/>
      <c r="B54" s="9" t="s">
        <v>654</v>
      </c>
    </row>
    <row r="55" spans="1:2" ht="24" customHeight="1" x14ac:dyDescent="0.25">
      <c r="A55" s="9"/>
      <c r="B55" s="9" t="s">
        <v>655</v>
      </c>
    </row>
    <row r="56" spans="1:2" ht="24" customHeight="1" x14ac:dyDescent="0.25">
      <c r="A56" s="9"/>
      <c r="B56" s="9" t="s">
        <v>656</v>
      </c>
    </row>
    <row r="57" spans="1:2" ht="24" customHeight="1" x14ac:dyDescent="0.25">
      <c r="A57" s="9"/>
      <c r="B57" s="9" t="s">
        <v>657</v>
      </c>
    </row>
    <row r="58" spans="1:2" ht="24" customHeight="1" x14ac:dyDescent="0.25">
      <c r="A58" s="9"/>
      <c r="B58" s="9" t="s">
        <v>174</v>
      </c>
    </row>
    <row r="59" spans="1:2" ht="24" customHeight="1" x14ac:dyDescent="0.25">
      <c r="A59" s="9"/>
      <c r="B59" s="9" t="s">
        <v>146</v>
      </c>
    </row>
    <row r="60" spans="1:2" ht="24" customHeight="1" x14ac:dyDescent="0.25">
      <c r="A60" s="9"/>
      <c r="B60" s="9" t="s">
        <v>151</v>
      </c>
    </row>
    <row r="61" spans="1:2" ht="24" customHeight="1" x14ac:dyDescent="0.25">
      <c r="A61" s="9"/>
      <c r="B61" s="9" t="s">
        <v>161</v>
      </c>
    </row>
    <row r="62" spans="1:2" ht="24" customHeight="1" x14ac:dyDescent="0.25">
      <c r="A62" s="9"/>
      <c r="B62" s="9" t="s">
        <v>121</v>
      </c>
    </row>
    <row r="63" spans="1:2" ht="24" customHeight="1" x14ac:dyDescent="0.25">
      <c r="A63" s="9"/>
      <c r="B63" s="9" t="s">
        <v>658</v>
      </c>
    </row>
    <row r="64" spans="1:2" ht="24" customHeight="1" x14ac:dyDescent="0.25">
      <c r="A64" s="9"/>
      <c r="B64" s="9" t="s">
        <v>136</v>
      </c>
    </row>
    <row r="65" spans="1:2" ht="24" customHeight="1" x14ac:dyDescent="0.25">
      <c r="A65" s="9"/>
      <c r="B65" s="9" t="s">
        <v>115</v>
      </c>
    </row>
    <row r="66" spans="1:2" ht="24" customHeight="1" x14ac:dyDescent="0.25">
      <c r="A66" s="9"/>
      <c r="B66" s="9" t="s">
        <v>141</v>
      </c>
    </row>
    <row r="67" spans="1:2" ht="24" customHeight="1" x14ac:dyDescent="0.25">
      <c r="A67" s="9"/>
      <c r="B67" s="9" t="s">
        <v>659</v>
      </c>
    </row>
    <row r="68" spans="1:2" ht="24" customHeight="1" x14ac:dyDescent="0.25">
      <c r="A68" s="9"/>
      <c r="B68" s="9" t="s">
        <v>6</v>
      </c>
    </row>
    <row r="69" spans="1:2" ht="24" customHeight="1" x14ac:dyDescent="0.25">
      <c r="A69" s="9"/>
      <c r="B69" s="9" t="s">
        <v>149</v>
      </c>
    </row>
    <row r="70" spans="1:2" ht="24" customHeight="1" x14ac:dyDescent="0.25">
      <c r="A70" s="9"/>
      <c r="B70" s="9" t="s">
        <v>159</v>
      </c>
    </row>
    <row r="71" spans="1:2" ht="24" customHeight="1" x14ac:dyDescent="0.25">
      <c r="A71" s="9"/>
      <c r="B71" s="9" t="s">
        <v>124</v>
      </c>
    </row>
    <row r="72" spans="1:2" ht="24" customHeight="1" x14ac:dyDescent="0.25">
      <c r="A72" s="9"/>
      <c r="B72" s="9" t="s">
        <v>109</v>
      </c>
    </row>
    <row r="73" spans="1:2" ht="24" customHeight="1" x14ac:dyDescent="0.25">
      <c r="A73" s="9"/>
      <c r="B73" s="9" t="s">
        <v>660</v>
      </c>
    </row>
    <row r="74" spans="1:2" ht="24" customHeight="1" x14ac:dyDescent="0.25">
      <c r="A74" s="9"/>
      <c r="B74" s="9" t="s">
        <v>113</v>
      </c>
    </row>
    <row r="75" spans="1:2" ht="24" customHeight="1" x14ac:dyDescent="0.25">
      <c r="A75" s="9"/>
      <c r="B75" s="9" t="s">
        <v>661</v>
      </c>
    </row>
    <row r="76" spans="1:2" ht="24" customHeight="1" x14ac:dyDescent="0.25">
      <c r="A76" s="9"/>
      <c r="B76" s="9" t="s">
        <v>155</v>
      </c>
    </row>
    <row r="77" spans="1:2" ht="24" customHeight="1" x14ac:dyDescent="0.25">
      <c r="A77" s="9"/>
      <c r="B77" s="9" t="s">
        <v>662</v>
      </c>
    </row>
    <row r="78" spans="1:2" ht="24" customHeight="1" x14ac:dyDescent="0.25">
      <c r="A78" s="9"/>
      <c r="B78" s="8"/>
    </row>
    <row r="79" spans="1:2" ht="24" customHeight="1" x14ac:dyDescent="0.25">
      <c r="A79" s="9"/>
      <c r="B79" s="9"/>
    </row>
    <row r="80" spans="1:2" ht="24" customHeight="1" x14ac:dyDescent="0.25">
      <c r="A80" s="9"/>
      <c r="B80" s="9"/>
    </row>
  </sheetData>
  <phoneticPr fontId="1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32"/>
  <sheetViews>
    <sheetView workbookViewId="0">
      <pane ySplit="1" topLeftCell="A2" activePane="bottomLeft" state="frozen"/>
      <selection pane="bottomLeft" activeCell="D43" sqref="D43"/>
    </sheetView>
  </sheetViews>
  <sheetFormatPr defaultColWidth="10.5546875" defaultRowHeight="15" customHeight="1" x14ac:dyDescent="0.25"/>
  <cols>
    <col min="1" max="16384" width="10.5546875" style="4"/>
  </cols>
  <sheetData>
    <row r="1" spans="1:3" s="3" customFormat="1" ht="15" customHeight="1" x14ac:dyDescent="0.25">
      <c r="A1" s="3" t="s">
        <v>663</v>
      </c>
      <c r="B1" s="3" t="s">
        <v>664</v>
      </c>
      <c r="C1" s="3" t="s">
        <v>182</v>
      </c>
    </row>
    <row r="2" spans="1:3" ht="15" customHeight="1" x14ac:dyDescent="0.25">
      <c r="A2" s="4" t="s">
        <v>329</v>
      </c>
      <c r="B2" s="5" t="s">
        <v>216</v>
      </c>
      <c r="C2" s="4">
        <v>1</v>
      </c>
    </row>
    <row r="3" spans="1:3" ht="15" customHeight="1" x14ac:dyDescent="0.25">
      <c r="A3" s="4" t="s">
        <v>329</v>
      </c>
      <c r="B3" s="5" t="s">
        <v>218</v>
      </c>
      <c r="C3" s="4">
        <v>2</v>
      </c>
    </row>
    <row r="4" spans="1:3" ht="15" customHeight="1" x14ac:dyDescent="0.25">
      <c r="A4" s="4" t="s">
        <v>329</v>
      </c>
      <c r="B4" s="5" t="s">
        <v>219</v>
      </c>
      <c r="C4" s="4">
        <v>3</v>
      </c>
    </row>
    <row r="5" spans="1:3" ht="15" customHeight="1" x14ac:dyDescent="0.25">
      <c r="A5" s="4" t="s">
        <v>329</v>
      </c>
      <c r="B5" s="5" t="s">
        <v>220</v>
      </c>
      <c r="C5" s="4">
        <v>4</v>
      </c>
    </row>
    <row r="6" spans="1:3" ht="15" customHeight="1" x14ac:dyDescent="0.25">
      <c r="A6" s="4" t="s">
        <v>329</v>
      </c>
      <c r="B6" s="5" t="s">
        <v>222</v>
      </c>
      <c r="C6" s="4">
        <v>5</v>
      </c>
    </row>
    <row r="7" spans="1:3" ht="15" customHeight="1" x14ac:dyDescent="0.25">
      <c r="A7" s="4" t="s">
        <v>329</v>
      </c>
      <c r="B7" s="5" t="s">
        <v>224</v>
      </c>
      <c r="C7" s="4">
        <v>6</v>
      </c>
    </row>
    <row r="8" spans="1:3" ht="15" customHeight="1" x14ac:dyDescent="0.25">
      <c r="A8" s="4" t="s">
        <v>329</v>
      </c>
      <c r="B8" s="5" t="s">
        <v>193</v>
      </c>
      <c r="C8" s="4">
        <v>7</v>
      </c>
    </row>
    <row r="9" spans="1:3" ht="15" customHeight="1" x14ac:dyDescent="0.25">
      <c r="A9" s="4" t="s">
        <v>329</v>
      </c>
      <c r="B9" s="5" t="s">
        <v>225</v>
      </c>
      <c r="C9" s="4">
        <v>0</v>
      </c>
    </row>
    <row r="10" spans="1:3" ht="15" customHeight="1" x14ac:dyDescent="0.25">
      <c r="A10" s="4" t="s">
        <v>665</v>
      </c>
      <c r="B10" s="5" t="s">
        <v>552</v>
      </c>
      <c r="C10" s="4">
        <v>1</v>
      </c>
    </row>
    <row r="11" spans="1:3" ht="15" customHeight="1" x14ac:dyDescent="0.25">
      <c r="A11" s="4" t="s">
        <v>665</v>
      </c>
      <c r="B11" s="5" t="s">
        <v>554</v>
      </c>
      <c r="C11" s="4">
        <v>2</v>
      </c>
    </row>
    <row r="12" spans="1:3" ht="15" customHeight="1" x14ac:dyDescent="0.25">
      <c r="A12" s="4" t="s">
        <v>665</v>
      </c>
      <c r="B12" s="5" t="s">
        <v>556</v>
      </c>
      <c r="C12" s="4">
        <v>3</v>
      </c>
    </row>
    <row r="13" spans="1:3" ht="15" customHeight="1" x14ac:dyDescent="0.25">
      <c r="A13" s="4" t="s">
        <v>665</v>
      </c>
      <c r="B13" s="5" t="s">
        <v>558</v>
      </c>
      <c r="C13" s="4">
        <v>4</v>
      </c>
    </row>
    <row r="14" spans="1:3" ht="15" customHeight="1" x14ac:dyDescent="0.25">
      <c r="A14" s="4" t="s">
        <v>336</v>
      </c>
      <c r="B14" s="5" t="s">
        <v>666</v>
      </c>
      <c r="C14" s="4">
        <v>1</v>
      </c>
    </row>
    <row r="15" spans="1:3" ht="15" customHeight="1" x14ac:dyDescent="0.25">
      <c r="A15" s="4" t="s">
        <v>336</v>
      </c>
      <c r="B15" s="4" t="s">
        <v>667</v>
      </c>
      <c r="C15" s="4">
        <v>2</v>
      </c>
    </row>
    <row r="16" spans="1:3" ht="15" customHeight="1" x14ac:dyDescent="0.25">
      <c r="A16" s="4" t="s">
        <v>336</v>
      </c>
      <c r="B16" s="4" t="s">
        <v>401</v>
      </c>
      <c r="C16" s="4">
        <v>3</v>
      </c>
    </row>
    <row r="17" spans="1:3" ht="15" customHeight="1" x14ac:dyDescent="0.25">
      <c r="A17" s="4" t="s">
        <v>336</v>
      </c>
      <c r="B17" s="4" t="s">
        <v>668</v>
      </c>
      <c r="C17" s="4">
        <v>4</v>
      </c>
    </row>
    <row r="18" spans="1:3" ht="15" customHeight="1" x14ac:dyDescent="0.25">
      <c r="A18" s="4" t="s">
        <v>336</v>
      </c>
      <c r="B18" s="4" t="s">
        <v>669</v>
      </c>
      <c r="C18" s="4">
        <v>5</v>
      </c>
    </row>
    <row r="19" spans="1:3" ht="15" customHeight="1" x14ac:dyDescent="0.25">
      <c r="A19" s="4" t="s">
        <v>336</v>
      </c>
      <c r="B19" s="4" t="s">
        <v>670</v>
      </c>
      <c r="C19" s="4">
        <v>6</v>
      </c>
    </row>
    <row r="20" spans="1:3" ht="15" customHeight="1" x14ac:dyDescent="0.25">
      <c r="A20" s="4" t="s">
        <v>336</v>
      </c>
      <c r="B20" s="4" t="s">
        <v>671</v>
      </c>
      <c r="C20" s="4">
        <v>7</v>
      </c>
    </row>
    <row r="21" spans="1:3" ht="15" customHeight="1" x14ac:dyDescent="0.25">
      <c r="A21" s="4" t="s">
        <v>336</v>
      </c>
      <c r="B21" s="4" t="s">
        <v>672</v>
      </c>
      <c r="C21" s="4">
        <v>8</v>
      </c>
    </row>
    <row r="22" spans="1:3" ht="15" customHeight="1" x14ac:dyDescent="0.25">
      <c r="A22" s="4" t="s">
        <v>336</v>
      </c>
      <c r="B22" s="4" t="s">
        <v>673</v>
      </c>
      <c r="C22" s="4">
        <v>9</v>
      </c>
    </row>
    <row r="23" spans="1:3" ht="15" customHeight="1" x14ac:dyDescent="0.25">
      <c r="A23" s="4" t="s">
        <v>336</v>
      </c>
      <c r="B23" s="4" t="s">
        <v>674</v>
      </c>
      <c r="C23" s="4">
        <v>10</v>
      </c>
    </row>
    <row r="24" spans="1:3" ht="15" customHeight="1" x14ac:dyDescent="0.25">
      <c r="A24" s="4" t="s">
        <v>336</v>
      </c>
      <c r="B24" s="4" t="s">
        <v>675</v>
      </c>
      <c r="C24" s="4">
        <v>11</v>
      </c>
    </row>
    <row r="25" spans="1:3" ht="15" customHeight="1" x14ac:dyDescent="0.25">
      <c r="A25" s="4" t="s">
        <v>336</v>
      </c>
      <c r="B25" s="4" t="s">
        <v>676</v>
      </c>
      <c r="C25" s="4">
        <v>12</v>
      </c>
    </row>
    <row r="26" spans="1:3" ht="15" customHeight="1" x14ac:dyDescent="0.25">
      <c r="A26" s="4" t="s">
        <v>194</v>
      </c>
      <c r="B26" s="4" t="s">
        <v>606</v>
      </c>
      <c r="C26" s="4">
        <v>1</v>
      </c>
    </row>
    <row r="27" spans="1:3" ht="15" customHeight="1" x14ac:dyDescent="0.25">
      <c r="A27" s="4" t="s">
        <v>336</v>
      </c>
      <c r="B27" s="4" t="s">
        <v>677</v>
      </c>
      <c r="C27" s="4">
        <v>13</v>
      </c>
    </row>
    <row r="28" spans="1:3" ht="15" customHeight="1" x14ac:dyDescent="0.25">
      <c r="A28" s="4" t="s">
        <v>336</v>
      </c>
      <c r="B28" s="4" t="s">
        <v>678</v>
      </c>
      <c r="C28" s="4">
        <v>14</v>
      </c>
    </row>
    <row r="29" spans="1:3" ht="15" customHeight="1" x14ac:dyDescent="0.25">
      <c r="A29" s="4" t="s">
        <v>194</v>
      </c>
      <c r="B29" s="4" t="s">
        <v>607</v>
      </c>
      <c r="C29" s="4">
        <v>2</v>
      </c>
    </row>
    <row r="30" spans="1:3" ht="15" customHeight="1" x14ac:dyDescent="0.25">
      <c r="A30" s="4" t="s">
        <v>336</v>
      </c>
      <c r="B30" s="4" t="s">
        <v>679</v>
      </c>
      <c r="C30" s="4">
        <v>15</v>
      </c>
    </row>
    <row r="31" spans="1:3" ht="15" customHeight="1" x14ac:dyDescent="0.25">
      <c r="A31" s="4" t="s">
        <v>336</v>
      </c>
      <c r="B31" s="4" t="s">
        <v>680</v>
      </c>
      <c r="C31" s="4">
        <v>16</v>
      </c>
    </row>
    <row r="32" spans="1:3" ht="15" customHeight="1" x14ac:dyDescent="0.25">
      <c r="A32" s="4" t="s">
        <v>336</v>
      </c>
      <c r="B32" s="4" t="s">
        <v>1906</v>
      </c>
      <c r="C32" s="4">
        <v>17</v>
      </c>
    </row>
  </sheetData>
  <phoneticPr fontId="11" type="noConversion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T761"/>
  <sheetViews>
    <sheetView topLeftCell="F1" workbookViewId="0">
      <pane ySplit="1" topLeftCell="A740" activePane="bottomLeft" state="frozen"/>
      <selection pane="bottomLeft" activeCell="O760" sqref="O760"/>
    </sheetView>
  </sheetViews>
  <sheetFormatPr defaultColWidth="10.5546875" defaultRowHeight="15" customHeight="1" x14ac:dyDescent="0.25"/>
  <cols>
    <col min="1" max="1" width="8.44140625" style="2" customWidth="1"/>
    <col min="2" max="2" width="13.77734375" style="2" customWidth="1"/>
    <col min="3" max="3" width="10.44140625" style="2" customWidth="1"/>
    <col min="4" max="4" width="10.109375" style="2" customWidth="1"/>
    <col min="5" max="5" width="30.77734375" style="2" customWidth="1"/>
    <col min="6" max="6" width="8.33203125" style="2" customWidth="1"/>
    <col min="7" max="7" width="9" style="2" customWidth="1"/>
    <col min="8" max="8" width="5.109375" style="2" customWidth="1"/>
    <col min="9" max="9" width="6.77734375" style="2" customWidth="1"/>
    <col min="10" max="10" width="8" style="2" customWidth="1"/>
    <col min="11" max="11" width="11.5546875" style="2" customWidth="1"/>
    <col min="12" max="20" width="50.77734375" style="2" customWidth="1"/>
    <col min="21" max="21" width="30.77734375" style="2" customWidth="1"/>
    <col min="22" max="16384" width="10.5546875" style="2"/>
  </cols>
  <sheetData>
    <row r="1" spans="1:20" s="1" customFormat="1" ht="15" customHeight="1" x14ac:dyDescent="0.25">
      <c r="A1" s="1" t="s">
        <v>182</v>
      </c>
      <c r="B1" s="1" t="s">
        <v>276</v>
      </c>
      <c r="C1" s="1" t="s">
        <v>329</v>
      </c>
      <c r="D1" s="1" t="s">
        <v>665</v>
      </c>
      <c r="E1" s="1" t="s">
        <v>664</v>
      </c>
      <c r="F1" s="1" t="s">
        <v>681</v>
      </c>
      <c r="G1" s="1" t="s">
        <v>336</v>
      </c>
      <c r="H1" s="1" t="s">
        <v>343</v>
      </c>
      <c r="I1" s="1" t="s">
        <v>344</v>
      </c>
      <c r="J1" s="1" t="s">
        <v>346</v>
      </c>
      <c r="K1" s="1" t="s">
        <v>347</v>
      </c>
      <c r="L1" s="1" t="s">
        <v>682</v>
      </c>
      <c r="M1" s="1" t="s">
        <v>683</v>
      </c>
      <c r="N1" s="1" t="s">
        <v>684</v>
      </c>
      <c r="O1" s="1" t="s">
        <v>685</v>
      </c>
      <c r="P1" s="1" t="s">
        <v>686</v>
      </c>
      <c r="Q1" s="1" t="s">
        <v>687</v>
      </c>
      <c r="R1" s="1" t="s">
        <v>688</v>
      </c>
      <c r="S1" s="1" t="s">
        <v>689</v>
      </c>
      <c r="T1" s="1" t="s">
        <v>690</v>
      </c>
    </row>
    <row r="2" spans="1:20" ht="15" customHeight="1" x14ac:dyDescent="0.25">
      <c r="A2" s="2">
        <v>1000000</v>
      </c>
      <c r="B2" s="2" t="s">
        <v>2181</v>
      </c>
      <c r="C2" s="2" t="s">
        <v>2748</v>
      </c>
      <c r="D2" s="2" t="s">
        <v>2751</v>
      </c>
      <c r="E2" s="2" t="s">
        <v>2755</v>
      </c>
      <c r="F2" s="2" t="s">
        <v>2756</v>
      </c>
      <c r="H2" s="2">
        <v>2</v>
      </c>
      <c r="L2" s="2" t="s">
        <v>2757</v>
      </c>
      <c r="M2" s="2" t="s">
        <v>2758</v>
      </c>
      <c r="N2" s="2" t="s">
        <v>2759</v>
      </c>
      <c r="O2" s="2" t="s">
        <v>2754</v>
      </c>
      <c r="P2" s="2" t="s">
        <v>2268</v>
      </c>
      <c r="Q2" s="2" t="s">
        <v>2498</v>
      </c>
    </row>
    <row r="3" spans="1:20" ht="15" customHeight="1" x14ac:dyDescent="0.25">
      <c r="A3" s="2">
        <v>1000001</v>
      </c>
      <c r="B3" s="2" t="s">
        <v>695</v>
      </c>
      <c r="C3" s="2" t="s">
        <v>225</v>
      </c>
      <c r="D3" s="2" t="s">
        <v>552</v>
      </c>
      <c r="E3" s="2" t="s">
        <v>696</v>
      </c>
      <c r="F3" s="2" t="s">
        <v>191</v>
      </c>
    </row>
    <row r="4" spans="1:20" ht="15" customHeight="1" x14ac:dyDescent="0.25">
      <c r="A4" s="2">
        <v>1000002</v>
      </c>
      <c r="B4" s="2" t="s">
        <v>695</v>
      </c>
      <c r="C4" s="2" t="s">
        <v>225</v>
      </c>
      <c r="D4" s="2" t="s">
        <v>552</v>
      </c>
      <c r="E4" s="2" t="s">
        <v>697</v>
      </c>
      <c r="F4" s="2" t="s">
        <v>191</v>
      </c>
    </row>
    <row r="5" spans="1:20" ht="15" customHeight="1" x14ac:dyDescent="0.25">
      <c r="A5" s="2">
        <v>1001301</v>
      </c>
      <c r="B5" s="2" t="s">
        <v>695</v>
      </c>
      <c r="C5" s="2" t="s">
        <v>225</v>
      </c>
      <c r="D5" s="2" t="s">
        <v>556</v>
      </c>
      <c r="E5" s="2" t="s">
        <v>698</v>
      </c>
      <c r="F5" s="2" t="s">
        <v>299</v>
      </c>
      <c r="H5" s="2">
        <v>3</v>
      </c>
      <c r="L5" s="2" t="s">
        <v>699</v>
      </c>
      <c r="M5" s="2" t="s">
        <v>693</v>
      </c>
      <c r="N5" s="2" t="s">
        <v>700</v>
      </c>
    </row>
    <row r="6" spans="1:20" ht="15" customHeight="1" x14ac:dyDescent="0.25">
      <c r="A6" s="2">
        <v>1001302</v>
      </c>
      <c r="B6" s="2" t="s">
        <v>695</v>
      </c>
      <c r="C6" s="2" t="s">
        <v>225</v>
      </c>
      <c r="D6" s="2" t="s">
        <v>556</v>
      </c>
      <c r="E6" s="2" t="s">
        <v>701</v>
      </c>
      <c r="F6" s="2" t="s">
        <v>295</v>
      </c>
      <c r="H6" s="2">
        <v>3</v>
      </c>
      <c r="I6" s="2">
        <v>3</v>
      </c>
      <c r="J6" s="2">
        <v>3</v>
      </c>
      <c r="L6" s="2" t="s">
        <v>702</v>
      </c>
    </row>
    <row r="7" spans="1:20" ht="15" customHeight="1" x14ac:dyDescent="0.25">
      <c r="A7" s="2">
        <v>1010402</v>
      </c>
      <c r="B7" s="2" t="s">
        <v>695</v>
      </c>
      <c r="C7" s="2" t="s">
        <v>216</v>
      </c>
      <c r="D7" s="2" t="s">
        <v>558</v>
      </c>
      <c r="E7" s="2" t="s">
        <v>666</v>
      </c>
      <c r="F7" s="2" t="s">
        <v>295</v>
      </c>
      <c r="G7" s="2" t="s">
        <v>666</v>
      </c>
      <c r="H7" s="2">
        <v>1</v>
      </c>
      <c r="I7" s="2">
        <v>1</v>
      </c>
      <c r="J7" s="2">
        <v>1</v>
      </c>
      <c r="L7" s="2" t="s">
        <v>249</v>
      </c>
    </row>
    <row r="8" spans="1:20" ht="15" customHeight="1" x14ac:dyDescent="0.25">
      <c r="A8" s="2">
        <v>1011303</v>
      </c>
      <c r="B8" s="2" t="s">
        <v>695</v>
      </c>
      <c r="C8" s="2" t="s">
        <v>216</v>
      </c>
      <c r="D8" s="2" t="s">
        <v>556</v>
      </c>
      <c r="E8" s="2" t="s">
        <v>703</v>
      </c>
      <c r="F8" s="2" t="s">
        <v>297</v>
      </c>
      <c r="H8" s="2">
        <v>1</v>
      </c>
      <c r="L8" s="2" t="s">
        <v>704</v>
      </c>
      <c r="M8" s="2" t="s">
        <v>705</v>
      </c>
    </row>
    <row r="9" spans="1:20" ht="15" customHeight="1" x14ac:dyDescent="0.25">
      <c r="A9" s="2">
        <v>1011304</v>
      </c>
      <c r="B9" s="2" t="s">
        <v>695</v>
      </c>
      <c r="C9" s="2" t="s">
        <v>216</v>
      </c>
      <c r="D9" s="2" t="s">
        <v>556</v>
      </c>
      <c r="E9" s="2" t="s">
        <v>706</v>
      </c>
      <c r="F9" s="2" t="s">
        <v>295</v>
      </c>
      <c r="H9" s="2">
        <v>7</v>
      </c>
      <c r="I9" s="2">
        <v>4</v>
      </c>
      <c r="J9" s="2">
        <v>6</v>
      </c>
      <c r="L9" s="2" t="s">
        <v>251</v>
      </c>
      <c r="M9" s="2" t="s">
        <v>707</v>
      </c>
    </row>
    <row r="10" spans="1:20" ht="15" customHeight="1" x14ac:dyDescent="0.25">
      <c r="A10" s="2">
        <v>1011402</v>
      </c>
      <c r="B10" s="2" t="s">
        <v>695</v>
      </c>
      <c r="C10" s="2" t="s">
        <v>216</v>
      </c>
      <c r="D10" s="2" t="s">
        <v>558</v>
      </c>
      <c r="E10" s="2" t="s">
        <v>708</v>
      </c>
      <c r="F10" s="2" t="s">
        <v>295</v>
      </c>
      <c r="H10" s="2">
        <v>2</v>
      </c>
      <c r="I10" s="2">
        <v>1</v>
      </c>
      <c r="J10" s="2">
        <v>1</v>
      </c>
      <c r="L10" s="2" t="s">
        <v>709</v>
      </c>
    </row>
    <row r="11" spans="1:20" ht="15" customHeight="1" x14ac:dyDescent="0.25">
      <c r="A11" s="2">
        <v>1011403</v>
      </c>
      <c r="B11" s="2" t="s">
        <v>695</v>
      </c>
      <c r="C11" s="2" t="s">
        <v>216</v>
      </c>
      <c r="D11" s="2" t="s">
        <v>558</v>
      </c>
      <c r="E11" s="2" t="s">
        <v>710</v>
      </c>
      <c r="F11" s="2" t="s">
        <v>299</v>
      </c>
      <c r="H11" s="2">
        <v>2</v>
      </c>
      <c r="K11" s="2">
        <v>2</v>
      </c>
      <c r="L11" s="2" t="s">
        <v>711</v>
      </c>
      <c r="M11" s="2" t="s">
        <v>712</v>
      </c>
    </row>
    <row r="12" spans="1:20" ht="15" customHeight="1" x14ac:dyDescent="0.25">
      <c r="A12" s="2">
        <v>1011404</v>
      </c>
      <c r="B12" s="2" t="s">
        <v>695</v>
      </c>
      <c r="C12" s="2" t="s">
        <v>216</v>
      </c>
      <c r="D12" s="2" t="s">
        <v>558</v>
      </c>
      <c r="E12" s="2" t="s">
        <v>713</v>
      </c>
      <c r="F12" s="2" t="s">
        <v>295</v>
      </c>
      <c r="H12" s="2">
        <v>4</v>
      </c>
      <c r="I12" s="2">
        <v>4</v>
      </c>
      <c r="J12" s="2">
        <v>4</v>
      </c>
      <c r="L12" s="2" t="s">
        <v>714</v>
      </c>
      <c r="M12" s="2" t="s">
        <v>715</v>
      </c>
    </row>
    <row r="13" spans="1:20" ht="15" customHeight="1" x14ac:dyDescent="0.25">
      <c r="A13" s="2">
        <v>1011405</v>
      </c>
      <c r="B13" s="2" t="s">
        <v>695</v>
      </c>
      <c r="C13" s="2" t="s">
        <v>216</v>
      </c>
      <c r="D13" s="2" t="s">
        <v>558</v>
      </c>
      <c r="E13" s="2" t="s">
        <v>716</v>
      </c>
      <c r="F13" s="2" t="s">
        <v>295</v>
      </c>
      <c r="H13" s="2">
        <v>2</v>
      </c>
      <c r="I13" s="2">
        <v>2</v>
      </c>
      <c r="J13" s="2">
        <v>2</v>
      </c>
      <c r="L13" s="2" t="s">
        <v>717</v>
      </c>
    </row>
    <row r="14" spans="1:20" ht="15" customHeight="1" x14ac:dyDescent="0.25">
      <c r="A14" s="2">
        <v>1020401</v>
      </c>
      <c r="B14" s="2" t="s">
        <v>695</v>
      </c>
      <c r="C14" s="2" t="s">
        <v>218</v>
      </c>
      <c r="D14" s="2" t="s">
        <v>558</v>
      </c>
      <c r="E14" s="2" t="s">
        <v>718</v>
      </c>
      <c r="F14" s="2" t="s">
        <v>295</v>
      </c>
      <c r="G14" s="2" t="s">
        <v>667</v>
      </c>
      <c r="H14" s="2">
        <v>0</v>
      </c>
      <c r="I14" s="2">
        <v>1</v>
      </c>
      <c r="J14" s="2">
        <v>1</v>
      </c>
    </row>
    <row r="15" spans="1:20" ht="15" customHeight="1" x14ac:dyDescent="0.25">
      <c r="A15" s="2">
        <v>1021301</v>
      </c>
      <c r="B15" s="2" t="s">
        <v>695</v>
      </c>
      <c r="C15" s="2" t="s">
        <v>218</v>
      </c>
      <c r="D15" s="2" t="s">
        <v>556</v>
      </c>
      <c r="E15" s="2" t="s">
        <v>719</v>
      </c>
      <c r="F15" s="2" t="s">
        <v>295</v>
      </c>
      <c r="H15" s="2">
        <v>2</v>
      </c>
      <c r="I15" s="2">
        <v>1</v>
      </c>
      <c r="J15" s="2">
        <v>2</v>
      </c>
      <c r="L15" s="2" t="s">
        <v>720</v>
      </c>
    </row>
    <row r="16" spans="1:20" ht="15" customHeight="1" x14ac:dyDescent="0.25">
      <c r="A16" s="2">
        <v>1021302</v>
      </c>
      <c r="B16" s="2" t="s">
        <v>695</v>
      </c>
      <c r="C16" s="2" t="s">
        <v>218</v>
      </c>
      <c r="D16" s="2" t="s">
        <v>556</v>
      </c>
      <c r="E16" s="2" t="s">
        <v>721</v>
      </c>
      <c r="F16" s="2" t="s">
        <v>295</v>
      </c>
      <c r="H16" s="2">
        <v>3</v>
      </c>
      <c r="I16" s="2">
        <v>3</v>
      </c>
      <c r="J16" s="2">
        <v>3</v>
      </c>
      <c r="L16" s="2" t="s">
        <v>722</v>
      </c>
    </row>
    <row r="17" spans="1:13" ht="15" customHeight="1" x14ac:dyDescent="0.25">
      <c r="A17" s="2">
        <v>1021304</v>
      </c>
      <c r="B17" s="2" t="s">
        <v>695</v>
      </c>
      <c r="C17" s="2" t="s">
        <v>218</v>
      </c>
      <c r="D17" s="2" t="s">
        <v>556</v>
      </c>
      <c r="E17" s="2" t="s">
        <v>723</v>
      </c>
      <c r="F17" s="2" t="s">
        <v>299</v>
      </c>
      <c r="H17" s="2">
        <v>4</v>
      </c>
      <c r="K17" s="2">
        <v>4</v>
      </c>
      <c r="L17" s="2" t="s">
        <v>724</v>
      </c>
    </row>
    <row r="18" spans="1:13" ht="15" customHeight="1" x14ac:dyDescent="0.25">
      <c r="A18" s="2">
        <v>1021401</v>
      </c>
      <c r="B18" s="2" t="s">
        <v>695</v>
      </c>
      <c r="C18" s="2" t="s">
        <v>218</v>
      </c>
      <c r="D18" s="2" t="s">
        <v>558</v>
      </c>
      <c r="E18" s="2" t="s">
        <v>725</v>
      </c>
      <c r="F18" s="2" t="s">
        <v>297</v>
      </c>
      <c r="H18" s="2">
        <v>2</v>
      </c>
      <c r="L18" s="2" t="s">
        <v>726</v>
      </c>
      <c r="M18" s="2" t="s">
        <v>727</v>
      </c>
    </row>
    <row r="19" spans="1:13" ht="15" customHeight="1" x14ac:dyDescent="0.25">
      <c r="A19" s="2">
        <v>1021404</v>
      </c>
      <c r="B19" s="2" t="s">
        <v>695</v>
      </c>
      <c r="C19" s="2" t="s">
        <v>218</v>
      </c>
      <c r="D19" s="2" t="s">
        <v>558</v>
      </c>
      <c r="E19" s="2" t="s">
        <v>728</v>
      </c>
      <c r="F19" s="2" t="s">
        <v>295</v>
      </c>
      <c r="H19" s="2">
        <v>4</v>
      </c>
      <c r="I19" s="2">
        <v>3</v>
      </c>
      <c r="J19" s="2">
        <v>2</v>
      </c>
      <c r="L19" s="2" t="s">
        <v>249</v>
      </c>
      <c r="M19" s="2" t="s">
        <v>729</v>
      </c>
    </row>
    <row r="20" spans="1:13" ht="15" customHeight="1" x14ac:dyDescent="0.25">
      <c r="A20" s="2">
        <v>1021405</v>
      </c>
      <c r="B20" s="2" t="s">
        <v>695</v>
      </c>
      <c r="C20" s="2" t="s">
        <v>218</v>
      </c>
      <c r="D20" s="2" t="s">
        <v>558</v>
      </c>
      <c r="E20" s="2" t="s">
        <v>177</v>
      </c>
      <c r="F20" s="2" t="s">
        <v>295</v>
      </c>
      <c r="H20" s="2">
        <v>8</v>
      </c>
      <c r="I20" s="2">
        <v>7</v>
      </c>
      <c r="J20" s="2">
        <v>5</v>
      </c>
      <c r="L20" s="2" t="s">
        <v>251</v>
      </c>
    </row>
    <row r="21" spans="1:13" ht="15" customHeight="1" x14ac:dyDescent="0.25">
      <c r="A21" s="2">
        <v>1030401</v>
      </c>
      <c r="B21" s="2" t="s">
        <v>695</v>
      </c>
      <c r="C21" s="2" t="s">
        <v>219</v>
      </c>
      <c r="D21" s="2" t="s">
        <v>558</v>
      </c>
      <c r="E21" s="2" t="s">
        <v>730</v>
      </c>
      <c r="F21" s="2" t="s">
        <v>299</v>
      </c>
      <c r="G21" s="2" t="s">
        <v>401</v>
      </c>
      <c r="H21" s="2">
        <v>1</v>
      </c>
      <c r="L21" s="2" t="s">
        <v>731</v>
      </c>
    </row>
    <row r="22" spans="1:13" ht="15" customHeight="1" x14ac:dyDescent="0.25">
      <c r="A22" s="2">
        <v>1030403</v>
      </c>
      <c r="B22" s="2" t="s">
        <v>695</v>
      </c>
      <c r="C22" s="2" t="s">
        <v>219</v>
      </c>
      <c r="D22" s="2" t="s">
        <v>558</v>
      </c>
      <c r="E22" s="2" t="s">
        <v>732</v>
      </c>
      <c r="F22" s="2" t="s">
        <v>295</v>
      </c>
      <c r="G22" s="2" t="s">
        <v>668</v>
      </c>
      <c r="H22" s="2">
        <v>1</v>
      </c>
      <c r="I22" s="2">
        <v>2</v>
      </c>
      <c r="J22" s="2">
        <v>2</v>
      </c>
    </row>
    <row r="23" spans="1:13" ht="15" customHeight="1" x14ac:dyDescent="0.25">
      <c r="A23" s="2">
        <v>1030404</v>
      </c>
      <c r="B23" s="2" t="s">
        <v>695</v>
      </c>
      <c r="C23" s="2" t="s">
        <v>219</v>
      </c>
      <c r="D23" s="2" t="s">
        <v>558</v>
      </c>
      <c r="E23" s="2" t="s">
        <v>733</v>
      </c>
      <c r="F23" s="2" t="s">
        <v>295</v>
      </c>
      <c r="G23" s="2" t="s">
        <v>668</v>
      </c>
      <c r="H23" s="2">
        <v>3</v>
      </c>
      <c r="I23" s="2">
        <v>3</v>
      </c>
      <c r="J23" s="2">
        <v>3</v>
      </c>
      <c r="L23" s="2" t="s">
        <v>257</v>
      </c>
    </row>
    <row r="24" spans="1:13" ht="15" customHeight="1" x14ac:dyDescent="0.25">
      <c r="A24" s="2">
        <v>1031301</v>
      </c>
      <c r="B24" s="2" t="s">
        <v>695</v>
      </c>
      <c r="C24" s="2" t="s">
        <v>219</v>
      </c>
      <c r="D24" s="2" t="s">
        <v>556</v>
      </c>
      <c r="E24" s="2" t="s">
        <v>734</v>
      </c>
      <c r="F24" s="2" t="s">
        <v>295</v>
      </c>
      <c r="H24" s="2">
        <v>4</v>
      </c>
      <c r="I24" s="2">
        <v>4</v>
      </c>
      <c r="J24" s="2">
        <v>4</v>
      </c>
      <c r="L24" s="2" t="s">
        <v>735</v>
      </c>
      <c r="M24" s="2" t="s">
        <v>736</v>
      </c>
    </row>
    <row r="25" spans="1:13" ht="15" customHeight="1" x14ac:dyDescent="0.25">
      <c r="A25" s="2">
        <v>1031303</v>
      </c>
      <c r="B25" s="2" t="s">
        <v>695</v>
      </c>
      <c r="C25" s="2" t="s">
        <v>219</v>
      </c>
      <c r="D25" s="2" t="s">
        <v>556</v>
      </c>
      <c r="E25" s="2" t="s">
        <v>737</v>
      </c>
      <c r="F25" s="2" t="s">
        <v>297</v>
      </c>
      <c r="H25" s="2">
        <v>4</v>
      </c>
      <c r="L25" s="2" t="s">
        <v>738</v>
      </c>
      <c r="M25" s="2" t="s">
        <v>739</v>
      </c>
    </row>
    <row r="26" spans="1:13" ht="15" customHeight="1" x14ac:dyDescent="0.25">
      <c r="A26" s="2">
        <v>1031404</v>
      </c>
      <c r="B26" s="2" t="s">
        <v>695</v>
      </c>
      <c r="C26" s="2" t="s">
        <v>219</v>
      </c>
      <c r="D26" s="2" t="s">
        <v>558</v>
      </c>
      <c r="E26" s="2" t="s">
        <v>740</v>
      </c>
      <c r="F26" s="2" t="s">
        <v>297</v>
      </c>
      <c r="H26" s="2">
        <v>2</v>
      </c>
      <c r="L26" s="2" t="s">
        <v>741</v>
      </c>
    </row>
    <row r="27" spans="1:13" ht="15" customHeight="1" x14ac:dyDescent="0.25">
      <c r="A27" s="2">
        <v>1031405</v>
      </c>
      <c r="B27" s="2" t="s">
        <v>695</v>
      </c>
      <c r="C27" s="2" t="s">
        <v>219</v>
      </c>
      <c r="D27" s="2" t="s">
        <v>558</v>
      </c>
      <c r="E27" s="2" t="s">
        <v>742</v>
      </c>
      <c r="F27" s="2" t="s">
        <v>295</v>
      </c>
      <c r="H27" s="2">
        <v>3</v>
      </c>
      <c r="I27" s="2">
        <v>2</v>
      </c>
      <c r="J27" s="2">
        <v>2</v>
      </c>
      <c r="L27" s="2" t="s">
        <v>743</v>
      </c>
    </row>
    <row r="28" spans="1:13" ht="15" customHeight="1" x14ac:dyDescent="0.25">
      <c r="A28" s="2">
        <v>1040402</v>
      </c>
      <c r="B28" s="2" t="s">
        <v>695</v>
      </c>
      <c r="C28" s="2" t="s">
        <v>220</v>
      </c>
      <c r="D28" s="2" t="s">
        <v>558</v>
      </c>
      <c r="E28" s="2" t="s">
        <v>744</v>
      </c>
      <c r="F28" s="2" t="s">
        <v>295</v>
      </c>
      <c r="H28" s="2">
        <v>5</v>
      </c>
      <c r="I28" s="2">
        <v>5</v>
      </c>
      <c r="J28" s="2">
        <v>5</v>
      </c>
      <c r="L28" s="2" t="s">
        <v>261</v>
      </c>
    </row>
    <row r="29" spans="1:13" ht="15" customHeight="1" x14ac:dyDescent="0.25">
      <c r="A29" s="2">
        <v>1041302</v>
      </c>
      <c r="B29" s="2" t="s">
        <v>695</v>
      </c>
      <c r="C29" s="2" t="s">
        <v>220</v>
      </c>
      <c r="D29" s="2" t="s">
        <v>556</v>
      </c>
      <c r="E29" s="2" t="s">
        <v>745</v>
      </c>
      <c r="F29" s="2" t="s">
        <v>297</v>
      </c>
      <c r="H29" s="2">
        <v>3</v>
      </c>
      <c r="L29" s="2" t="s">
        <v>746</v>
      </c>
      <c r="M29" s="2" t="s">
        <v>747</v>
      </c>
    </row>
    <row r="30" spans="1:13" ht="15" customHeight="1" x14ac:dyDescent="0.25">
      <c r="A30" s="2">
        <v>1041303</v>
      </c>
      <c r="B30" s="2" t="s">
        <v>695</v>
      </c>
      <c r="C30" s="2" t="s">
        <v>220</v>
      </c>
      <c r="D30" s="2" t="s">
        <v>556</v>
      </c>
      <c r="E30" s="2" t="s">
        <v>748</v>
      </c>
      <c r="F30" s="2" t="s">
        <v>295</v>
      </c>
      <c r="H30" s="2">
        <v>4</v>
      </c>
      <c r="I30" s="2">
        <v>4</v>
      </c>
      <c r="J30" s="2">
        <v>5</v>
      </c>
      <c r="L30" s="2" t="s">
        <v>749</v>
      </c>
    </row>
    <row r="31" spans="1:13" ht="15" customHeight="1" x14ac:dyDescent="0.25">
      <c r="A31" s="2">
        <v>1041304</v>
      </c>
      <c r="B31" s="2" t="s">
        <v>695</v>
      </c>
      <c r="C31" s="2" t="s">
        <v>220</v>
      </c>
      <c r="D31" s="2" t="s">
        <v>556</v>
      </c>
      <c r="E31" s="2" t="s">
        <v>750</v>
      </c>
      <c r="F31" s="2" t="s">
        <v>295</v>
      </c>
      <c r="H31" s="2">
        <v>5</v>
      </c>
      <c r="I31" s="2">
        <v>5</v>
      </c>
      <c r="J31" s="2">
        <v>5</v>
      </c>
      <c r="L31" s="2" t="s">
        <v>751</v>
      </c>
    </row>
    <row r="32" spans="1:13" ht="15" customHeight="1" x14ac:dyDescent="0.25">
      <c r="A32" s="2">
        <v>1041404</v>
      </c>
      <c r="B32" s="2" t="s">
        <v>695</v>
      </c>
      <c r="C32" s="2" t="s">
        <v>220</v>
      </c>
      <c r="D32" s="2" t="s">
        <v>558</v>
      </c>
      <c r="E32" s="2" t="s">
        <v>752</v>
      </c>
      <c r="F32" s="2" t="s">
        <v>295</v>
      </c>
      <c r="H32" s="2">
        <v>6</v>
      </c>
      <c r="I32" s="2">
        <v>5</v>
      </c>
      <c r="J32" s="2">
        <v>10</v>
      </c>
      <c r="L32" s="2" t="s">
        <v>257</v>
      </c>
    </row>
    <row r="33" spans="1:16" ht="15" customHeight="1" x14ac:dyDescent="0.25">
      <c r="A33" s="2">
        <v>1050402</v>
      </c>
      <c r="B33" s="2" t="s">
        <v>695</v>
      </c>
      <c r="C33" s="2" t="s">
        <v>222</v>
      </c>
      <c r="D33" s="2" t="s">
        <v>558</v>
      </c>
      <c r="E33" s="2" t="s">
        <v>753</v>
      </c>
      <c r="F33" s="2" t="s">
        <v>295</v>
      </c>
      <c r="H33" s="2">
        <v>1</v>
      </c>
      <c r="I33" s="2">
        <v>1</v>
      </c>
      <c r="J33" s="2">
        <v>1</v>
      </c>
      <c r="L33" s="2" t="s">
        <v>259</v>
      </c>
    </row>
    <row r="34" spans="1:16" ht="15" customHeight="1" x14ac:dyDescent="0.25">
      <c r="A34" s="2">
        <v>1050403</v>
      </c>
      <c r="B34" s="2" t="s">
        <v>695</v>
      </c>
      <c r="C34" s="2" t="s">
        <v>222</v>
      </c>
      <c r="D34" s="2" t="s">
        <v>558</v>
      </c>
      <c r="E34" s="2" t="s">
        <v>754</v>
      </c>
      <c r="F34" s="2" t="s">
        <v>295</v>
      </c>
      <c r="G34" s="2" t="s">
        <v>669</v>
      </c>
      <c r="H34" s="2">
        <v>1</v>
      </c>
      <c r="I34" s="2">
        <v>1</v>
      </c>
      <c r="J34" s="2">
        <v>1</v>
      </c>
      <c r="L34" s="2" t="s">
        <v>251</v>
      </c>
      <c r="M34" s="2" t="s">
        <v>536</v>
      </c>
      <c r="N34" s="2" t="s">
        <v>755</v>
      </c>
    </row>
    <row r="35" spans="1:16" ht="15" customHeight="1" x14ac:dyDescent="0.25">
      <c r="A35" s="2">
        <v>1051302</v>
      </c>
      <c r="B35" s="2" t="s">
        <v>695</v>
      </c>
      <c r="C35" s="2" t="s">
        <v>222</v>
      </c>
      <c r="D35" s="2" t="s">
        <v>556</v>
      </c>
      <c r="E35" s="2" t="s">
        <v>756</v>
      </c>
      <c r="F35" s="2" t="s">
        <v>295</v>
      </c>
      <c r="H35" s="2">
        <v>4</v>
      </c>
      <c r="I35" s="2">
        <v>5</v>
      </c>
      <c r="J35" s="2">
        <v>4</v>
      </c>
      <c r="L35" s="2" t="s">
        <v>757</v>
      </c>
    </row>
    <row r="36" spans="1:16" ht="15" customHeight="1" x14ac:dyDescent="0.25">
      <c r="A36" s="2">
        <v>1051303</v>
      </c>
      <c r="B36" s="2" t="s">
        <v>695</v>
      </c>
      <c r="C36" s="2" t="s">
        <v>222</v>
      </c>
      <c r="D36" s="2" t="s">
        <v>556</v>
      </c>
      <c r="E36" s="2" t="s">
        <v>758</v>
      </c>
      <c r="F36" s="2" t="s">
        <v>297</v>
      </c>
      <c r="H36" s="2">
        <v>2</v>
      </c>
      <c r="L36" s="2" t="s">
        <v>759</v>
      </c>
      <c r="M36" s="2" t="s">
        <v>760</v>
      </c>
    </row>
    <row r="37" spans="1:16" ht="15" customHeight="1" x14ac:dyDescent="0.25">
      <c r="A37" s="2">
        <v>1051402</v>
      </c>
      <c r="B37" s="2" t="s">
        <v>695</v>
      </c>
      <c r="C37" s="2" t="s">
        <v>222</v>
      </c>
      <c r="D37" s="2" t="s">
        <v>558</v>
      </c>
      <c r="E37" s="2" t="s">
        <v>761</v>
      </c>
      <c r="F37" s="2" t="s">
        <v>295</v>
      </c>
      <c r="H37" s="2">
        <v>3</v>
      </c>
      <c r="I37" s="2">
        <v>4</v>
      </c>
      <c r="J37" s="2">
        <v>3</v>
      </c>
      <c r="L37" s="2" t="s">
        <v>762</v>
      </c>
    </row>
    <row r="38" spans="1:16" ht="15" customHeight="1" x14ac:dyDescent="0.25">
      <c r="A38" s="2">
        <v>1051403</v>
      </c>
      <c r="B38" s="2" t="s">
        <v>695</v>
      </c>
      <c r="C38" s="2" t="s">
        <v>222</v>
      </c>
      <c r="D38" s="2" t="s">
        <v>558</v>
      </c>
      <c r="E38" s="2" t="s">
        <v>763</v>
      </c>
      <c r="F38" s="2" t="s">
        <v>297</v>
      </c>
      <c r="H38" s="2">
        <v>2</v>
      </c>
      <c r="L38" s="2" t="s">
        <v>764</v>
      </c>
    </row>
    <row r="39" spans="1:16" ht="15" customHeight="1" x14ac:dyDescent="0.25">
      <c r="A39" s="2">
        <v>1051404</v>
      </c>
      <c r="B39" s="2" t="s">
        <v>695</v>
      </c>
      <c r="C39" s="2" t="s">
        <v>222</v>
      </c>
      <c r="D39" s="2" t="s">
        <v>558</v>
      </c>
      <c r="E39" s="2" t="s">
        <v>765</v>
      </c>
      <c r="F39" s="2" t="s">
        <v>295</v>
      </c>
      <c r="H39" s="2">
        <v>6</v>
      </c>
      <c r="I39" s="2">
        <v>3</v>
      </c>
      <c r="J39" s="2">
        <v>6</v>
      </c>
      <c r="L39" s="2" t="s">
        <v>251</v>
      </c>
      <c r="M39" s="2" t="s">
        <v>255</v>
      </c>
    </row>
    <row r="40" spans="1:16" ht="15" customHeight="1" x14ac:dyDescent="0.25">
      <c r="A40" s="2">
        <v>1061301</v>
      </c>
      <c r="B40" s="2" t="s">
        <v>695</v>
      </c>
      <c r="C40" s="2" t="s">
        <v>224</v>
      </c>
      <c r="D40" s="2" t="s">
        <v>556</v>
      </c>
      <c r="E40" s="2" t="s">
        <v>176</v>
      </c>
      <c r="F40" s="2" t="s">
        <v>295</v>
      </c>
      <c r="H40" s="2">
        <v>8</v>
      </c>
      <c r="I40" s="2">
        <v>6</v>
      </c>
      <c r="J40" s="2">
        <v>8</v>
      </c>
      <c r="L40" s="2" t="s">
        <v>257</v>
      </c>
      <c r="M40" s="2" t="s">
        <v>768</v>
      </c>
    </row>
    <row r="41" spans="1:16" ht="15" customHeight="1" x14ac:dyDescent="0.25">
      <c r="A41" s="2">
        <v>1061302</v>
      </c>
      <c r="B41" s="2" t="s">
        <v>695</v>
      </c>
      <c r="C41" s="2" t="s">
        <v>224</v>
      </c>
      <c r="D41" s="2" t="s">
        <v>556</v>
      </c>
      <c r="E41" s="2" t="s">
        <v>108</v>
      </c>
      <c r="F41" s="2" t="s">
        <v>299</v>
      </c>
      <c r="H41" s="2">
        <v>1</v>
      </c>
      <c r="K41" s="2">
        <v>4</v>
      </c>
      <c r="L41" s="2" t="s">
        <v>1904</v>
      </c>
      <c r="M41" s="2" t="s">
        <v>769</v>
      </c>
    </row>
    <row r="42" spans="1:16" ht="15" customHeight="1" x14ac:dyDescent="0.25">
      <c r="A42" s="2">
        <v>1061303</v>
      </c>
      <c r="B42" s="2" t="s">
        <v>695</v>
      </c>
      <c r="C42" s="2" t="s">
        <v>224</v>
      </c>
      <c r="D42" s="2" t="s">
        <v>556</v>
      </c>
      <c r="E42" s="2" t="s">
        <v>770</v>
      </c>
      <c r="F42" s="2" t="s">
        <v>295</v>
      </c>
      <c r="H42" s="2">
        <v>4</v>
      </c>
      <c r="I42" s="2">
        <v>5</v>
      </c>
      <c r="J42" s="2">
        <v>4</v>
      </c>
      <c r="L42" s="2" t="s">
        <v>771</v>
      </c>
    </row>
    <row r="43" spans="1:16" ht="15" customHeight="1" x14ac:dyDescent="0.25">
      <c r="A43" s="2">
        <v>1061401</v>
      </c>
      <c r="B43" s="2" t="s">
        <v>695</v>
      </c>
      <c r="C43" s="2" t="s">
        <v>224</v>
      </c>
      <c r="D43" s="2" t="s">
        <v>558</v>
      </c>
      <c r="E43" s="2" t="s">
        <v>772</v>
      </c>
      <c r="F43" s="2" t="s">
        <v>295</v>
      </c>
      <c r="H43" s="2">
        <v>2</v>
      </c>
      <c r="I43" s="2">
        <v>1</v>
      </c>
      <c r="J43" s="2">
        <v>3</v>
      </c>
      <c r="L43" s="2" t="s">
        <v>257</v>
      </c>
    </row>
    <row r="44" spans="1:16" ht="15" customHeight="1" x14ac:dyDescent="0.25">
      <c r="A44" s="2">
        <v>1061402</v>
      </c>
      <c r="B44" s="2" t="s">
        <v>695</v>
      </c>
      <c r="C44" s="2" t="s">
        <v>224</v>
      </c>
      <c r="D44" s="2" t="s">
        <v>558</v>
      </c>
      <c r="E44" s="2" t="s">
        <v>773</v>
      </c>
      <c r="F44" s="2" t="s">
        <v>295</v>
      </c>
      <c r="H44" s="2">
        <v>4</v>
      </c>
      <c r="I44" s="2">
        <v>4</v>
      </c>
      <c r="J44" s="2">
        <v>4</v>
      </c>
      <c r="L44" s="2" t="s">
        <v>774</v>
      </c>
      <c r="M44" s="2" t="s">
        <v>692</v>
      </c>
    </row>
    <row r="45" spans="1:16" ht="15" customHeight="1" x14ac:dyDescent="0.25">
      <c r="A45" s="2">
        <v>1061404</v>
      </c>
      <c r="B45" s="2" t="s">
        <v>695</v>
      </c>
      <c r="C45" s="2" t="s">
        <v>224</v>
      </c>
      <c r="D45" s="2" t="s">
        <v>558</v>
      </c>
      <c r="E45" s="2" t="s">
        <v>775</v>
      </c>
      <c r="F45" s="2" t="s">
        <v>295</v>
      </c>
      <c r="H45" s="2">
        <v>6</v>
      </c>
      <c r="I45" s="2">
        <v>3</v>
      </c>
      <c r="J45" s="2">
        <v>5</v>
      </c>
      <c r="L45" s="2" t="s">
        <v>776</v>
      </c>
      <c r="M45" s="2" t="s">
        <v>257</v>
      </c>
    </row>
    <row r="46" spans="1:16" ht="15" customHeight="1" x14ac:dyDescent="0.25">
      <c r="A46" s="2">
        <v>1070101</v>
      </c>
      <c r="B46" s="2" t="s">
        <v>695</v>
      </c>
      <c r="C46" s="2" t="s">
        <v>193</v>
      </c>
      <c r="D46" s="2" t="s">
        <v>552</v>
      </c>
      <c r="E46" s="2" t="s">
        <v>777</v>
      </c>
      <c r="F46" s="2" t="s">
        <v>295</v>
      </c>
      <c r="G46" s="2" t="s">
        <v>671</v>
      </c>
      <c r="H46" s="2">
        <v>10</v>
      </c>
      <c r="I46" s="2">
        <v>10</v>
      </c>
      <c r="J46" s="2">
        <v>10</v>
      </c>
      <c r="L46" s="2" t="s">
        <v>778</v>
      </c>
      <c r="M46" s="2" t="s">
        <v>776</v>
      </c>
      <c r="N46" s="2" t="s">
        <v>251</v>
      </c>
      <c r="O46" s="2" t="s">
        <v>257</v>
      </c>
      <c r="P46" s="2" t="s">
        <v>263</v>
      </c>
    </row>
    <row r="47" spans="1:16" ht="15" customHeight="1" x14ac:dyDescent="0.25">
      <c r="A47" s="2">
        <v>1070201</v>
      </c>
      <c r="B47" s="2" t="s">
        <v>695</v>
      </c>
      <c r="C47" s="2" t="s">
        <v>193</v>
      </c>
      <c r="D47" s="2" t="s">
        <v>554</v>
      </c>
      <c r="E47" s="2" t="s">
        <v>779</v>
      </c>
      <c r="F47" s="2" t="s">
        <v>295</v>
      </c>
      <c r="G47" s="2" t="s">
        <v>671</v>
      </c>
      <c r="H47" s="2">
        <v>5</v>
      </c>
      <c r="I47" s="2">
        <v>5</v>
      </c>
      <c r="J47" s="2">
        <v>3</v>
      </c>
      <c r="L47" s="2" t="s">
        <v>780</v>
      </c>
    </row>
    <row r="48" spans="1:16" ht="15" customHeight="1" x14ac:dyDescent="0.25">
      <c r="A48" s="2">
        <v>1070203</v>
      </c>
      <c r="B48" s="2" t="s">
        <v>695</v>
      </c>
      <c r="C48" s="2" t="s">
        <v>193</v>
      </c>
      <c r="D48" s="2" t="s">
        <v>554</v>
      </c>
      <c r="E48" s="2" t="s">
        <v>781</v>
      </c>
      <c r="F48" s="2" t="s">
        <v>295</v>
      </c>
      <c r="G48" s="2" t="s">
        <v>671</v>
      </c>
      <c r="H48" s="2">
        <v>5</v>
      </c>
      <c r="I48" s="2">
        <v>4</v>
      </c>
      <c r="J48" s="2">
        <v>4</v>
      </c>
      <c r="L48" s="2" t="s">
        <v>782</v>
      </c>
    </row>
    <row r="49" spans="1:16" ht="15" customHeight="1" x14ac:dyDescent="0.25">
      <c r="A49" s="2">
        <v>1070301</v>
      </c>
      <c r="B49" s="2" t="s">
        <v>695</v>
      </c>
      <c r="C49" s="2" t="s">
        <v>193</v>
      </c>
      <c r="D49" s="2" t="s">
        <v>556</v>
      </c>
      <c r="E49" s="2" t="s">
        <v>783</v>
      </c>
      <c r="F49" s="2" t="s">
        <v>295</v>
      </c>
      <c r="G49" s="2" t="s">
        <v>671</v>
      </c>
      <c r="H49" s="2">
        <v>3</v>
      </c>
      <c r="I49" s="2">
        <v>1</v>
      </c>
      <c r="J49" s="2">
        <v>5</v>
      </c>
      <c r="L49" s="2" t="s">
        <v>784</v>
      </c>
      <c r="M49" s="2" t="s">
        <v>785</v>
      </c>
      <c r="N49" s="2" t="s">
        <v>786</v>
      </c>
      <c r="O49" s="2" t="s">
        <v>787</v>
      </c>
      <c r="P49" s="2" t="s">
        <v>257</v>
      </c>
    </row>
    <row r="50" spans="1:16" ht="15" customHeight="1" x14ac:dyDescent="0.25">
      <c r="A50" s="2">
        <v>1070303</v>
      </c>
      <c r="B50" s="2" t="s">
        <v>695</v>
      </c>
      <c r="C50" s="2" t="s">
        <v>193</v>
      </c>
      <c r="D50" s="2" t="s">
        <v>556</v>
      </c>
      <c r="E50" s="2" t="s">
        <v>788</v>
      </c>
      <c r="F50" s="2" t="s">
        <v>295</v>
      </c>
      <c r="G50" s="2" t="s">
        <v>671</v>
      </c>
      <c r="H50" s="2">
        <v>3</v>
      </c>
      <c r="I50" s="2">
        <v>5</v>
      </c>
      <c r="J50" s="2">
        <v>1</v>
      </c>
      <c r="L50" s="2" t="s">
        <v>784</v>
      </c>
      <c r="M50" s="2" t="s">
        <v>785</v>
      </c>
      <c r="N50" s="2" t="s">
        <v>786</v>
      </c>
      <c r="O50" s="2" t="s">
        <v>787</v>
      </c>
      <c r="P50" s="2" t="s">
        <v>249</v>
      </c>
    </row>
    <row r="51" spans="1:16" ht="15" customHeight="1" x14ac:dyDescent="0.25">
      <c r="A51" s="2">
        <v>1070401</v>
      </c>
      <c r="B51" s="2" t="s">
        <v>695</v>
      </c>
      <c r="C51" s="2" t="s">
        <v>193</v>
      </c>
      <c r="D51" s="2" t="s">
        <v>558</v>
      </c>
      <c r="E51" s="2" t="s">
        <v>789</v>
      </c>
      <c r="F51" s="2" t="s">
        <v>299</v>
      </c>
      <c r="G51" s="2" t="s">
        <v>671</v>
      </c>
      <c r="H51" s="2">
        <v>1</v>
      </c>
      <c r="L51" s="2" t="s">
        <v>790</v>
      </c>
      <c r="M51" s="2" t="s">
        <v>791</v>
      </c>
      <c r="N51" s="2" t="s">
        <v>539</v>
      </c>
    </row>
    <row r="52" spans="1:16" ht="15" customHeight="1" x14ac:dyDescent="0.25">
      <c r="A52" s="2">
        <v>1070402</v>
      </c>
      <c r="B52" s="2" t="s">
        <v>695</v>
      </c>
      <c r="C52" s="2" t="s">
        <v>193</v>
      </c>
      <c r="D52" s="2" t="s">
        <v>558</v>
      </c>
      <c r="E52" s="2" t="s">
        <v>22</v>
      </c>
      <c r="F52" s="2" t="s">
        <v>295</v>
      </c>
      <c r="G52" s="2" t="s">
        <v>670</v>
      </c>
      <c r="H52" s="2">
        <v>1</v>
      </c>
      <c r="I52" s="2">
        <v>3</v>
      </c>
      <c r="J52" s="2">
        <v>3</v>
      </c>
      <c r="L52" s="2" t="s">
        <v>249</v>
      </c>
      <c r="M52" s="2" t="s">
        <v>792</v>
      </c>
    </row>
    <row r="53" spans="1:16" ht="15" customHeight="1" x14ac:dyDescent="0.25">
      <c r="A53" s="2">
        <v>1070403</v>
      </c>
      <c r="B53" s="2" t="s">
        <v>695</v>
      </c>
      <c r="C53" s="2" t="s">
        <v>193</v>
      </c>
      <c r="D53" s="2" t="s">
        <v>558</v>
      </c>
      <c r="E53" s="2" t="s">
        <v>793</v>
      </c>
      <c r="F53" s="2" t="s">
        <v>299</v>
      </c>
      <c r="G53" s="2" t="s">
        <v>671</v>
      </c>
      <c r="H53" s="2">
        <v>1</v>
      </c>
      <c r="L53" s="2" t="s">
        <v>790</v>
      </c>
      <c r="M53" s="2" t="s">
        <v>794</v>
      </c>
      <c r="N53" s="2" t="s">
        <v>539</v>
      </c>
    </row>
    <row r="54" spans="1:16" ht="15" customHeight="1" x14ac:dyDescent="0.25">
      <c r="A54" s="2">
        <v>1070405</v>
      </c>
      <c r="B54" s="2" t="s">
        <v>695</v>
      </c>
      <c r="C54" s="2" t="s">
        <v>193</v>
      </c>
      <c r="D54" s="2" t="s">
        <v>558</v>
      </c>
      <c r="E54" s="2" t="s">
        <v>30</v>
      </c>
      <c r="F54" s="2" t="s">
        <v>295</v>
      </c>
      <c r="G54" s="2" t="s">
        <v>670</v>
      </c>
      <c r="H54" s="2">
        <v>0</v>
      </c>
      <c r="I54" s="2">
        <v>1</v>
      </c>
      <c r="J54" s="2">
        <v>1</v>
      </c>
      <c r="L54" s="2" t="s">
        <v>249</v>
      </c>
      <c r="M54" s="2" t="s">
        <v>792</v>
      </c>
    </row>
    <row r="55" spans="1:16" ht="15" customHeight="1" x14ac:dyDescent="0.25">
      <c r="A55" s="2">
        <v>1071302</v>
      </c>
      <c r="B55" s="2" t="s">
        <v>695</v>
      </c>
      <c r="C55" s="2" t="s">
        <v>193</v>
      </c>
      <c r="D55" s="2" t="s">
        <v>556</v>
      </c>
      <c r="E55" s="2" t="s">
        <v>795</v>
      </c>
      <c r="F55" s="2" t="s">
        <v>295</v>
      </c>
      <c r="H55" s="2">
        <v>2</v>
      </c>
      <c r="I55" s="2">
        <v>1</v>
      </c>
      <c r="J55" s="2">
        <v>3</v>
      </c>
      <c r="L55" s="2" t="s">
        <v>796</v>
      </c>
    </row>
    <row r="56" spans="1:16" ht="15" customHeight="1" x14ac:dyDescent="0.25">
      <c r="A56" s="2">
        <v>1071303</v>
      </c>
      <c r="B56" s="2" t="s">
        <v>695</v>
      </c>
      <c r="C56" s="2" t="s">
        <v>193</v>
      </c>
      <c r="D56" s="2" t="s">
        <v>556</v>
      </c>
      <c r="E56" s="2" t="s">
        <v>797</v>
      </c>
      <c r="F56" s="2" t="s">
        <v>295</v>
      </c>
      <c r="H56" s="2">
        <v>5</v>
      </c>
      <c r="I56" s="2">
        <v>4</v>
      </c>
      <c r="J56" s="2">
        <v>4</v>
      </c>
      <c r="L56" s="2" t="s">
        <v>257</v>
      </c>
      <c r="M56" s="2" t="s">
        <v>798</v>
      </c>
    </row>
    <row r="57" spans="1:16" ht="15" customHeight="1" x14ac:dyDescent="0.25">
      <c r="A57" s="2">
        <v>1071401</v>
      </c>
      <c r="B57" s="2" t="s">
        <v>695</v>
      </c>
      <c r="C57" s="2" t="s">
        <v>193</v>
      </c>
      <c r="D57" s="2" t="s">
        <v>558</v>
      </c>
      <c r="E57" s="2" t="s">
        <v>799</v>
      </c>
      <c r="F57" s="2" t="s">
        <v>295</v>
      </c>
      <c r="H57" s="2">
        <v>3</v>
      </c>
      <c r="I57" s="2">
        <v>3</v>
      </c>
      <c r="J57" s="2">
        <v>2</v>
      </c>
      <c r="L57" s="2" t="s">
        <v>800</v>
      </c>
      <c r="M57" s="2" t="s">
        <v>249</v>
      </c>
    </row>
    <row r="58" spans="1:16" ht="15" customHeight="1" x14ac:dyDescent="0.25">
      <c r="A58" s="2">
        <v>1071403</v>
      </c>
      <c r="B58" s="2" t="s">
        <v>695</v>
      </c>
      <c r="C58" s="2" t="s">
        <v>193</v>
      </c>
      <c r="D58" s="2" t="s">
        <v>558</v>
      </c>
      <c r="E58" s="2" t="s">
        <v>801</v>
      </c>
      <c r="F58" s="2" t="s">
        <v>297</v>
      </c>
      <c r="H58" s="2">
        <v>4</v>
      </c>
      <c r="L58" s="2" t="s">
        <v>802</v>
      </c>
      <c r="M58" s="2" t="s">
        <v>803</v>
      </c>
      <c r="N58" s="2" t="s">
        <v>804</v>
      </c>
    </row>
    <row r="59" spans="1:16" ht="15" customHeight="1" x14ac:dyDescent="0.25">
      <c r="A59" s="2">
        <v>1071404</v>
      </c>
      <c r="B59" s="2" t="s">
        <v>695</v>
      </c>
      <c r="C59" s="2" t="s">
        <v>193</v>
      </c>
      <c r="D59" s="2" t="s">
        <v>558</v>
      </c>
      <c r="E59" s="2" t="s">
        <v>805</v>
      </c>
      <c r="F59" s="2" t="s">
        <v>295</v>
      </c>
      <c r="H59" s="2">
        <v>6</v>
      </c>
      <c r="I59" s="2">
        <v>4</v>
      </c>
      <c r="J59" s="2">
        <v>9</v>
      </c>
      <c r="L59" s="2" t="s">
        <v>255</v>
      </c>
      <c r="M59" s="2" t="s">
        <v>257</v>
      </c>
    </row>
    <row r="60" spans="1:16" ht="15" customHeight="1" x14ac:dyDescent="0.25">
      <c r="A60" s="2">
        <v>1100101</v>
      </c>
      <c r="B60" s="2" t="s">
        <v>806</v>
      </c>
      <c r="C60" s="2" t="s">
        <v>225</v>
      </c>
      <c r="D60" s="2" t="s">
        <v>552</v>
      </c>
      <c r="E60" s="2" t="s">
        <v>807</v>
      </c>
      <c r="F60" s="2" t="s">
        <v>297</v>
      </c>
      <c r="H60" s="2">
        <v>5</v>
      </c>
      <c r="L60" s="2" t="s">
        <v>808</v>
      </c>
      <c r="M60" s="2" t="s">
        <v>809</v>
      </c>
    </row>
    <row r="61" spans="1:16" ht="15" customHeight="1" x14ac:dyDescent="0.25">
      <c r="A61" s="2">
        <v>1100102</v>
      </c>
      <c r="B61" s="2" t="s">
        <v>806</v>
      </c>
      <c r="C61" s="2" t="s">
        <v>225</v>
      </c>
      <c r="D61" s="2" t="s">
        <v>552</v>
      </c>
      <c r="E61" s="2" t="s">
        <v>810</v>
      </c>
      <c r="F61" s="2" t="s">
        <v>297</v>
      </c>
      <c r="H61" s="2">
        <v>1</v>
      </c>
      <c r="L61" s="2" t="s">
        <v>802</v>
      </c>
    </row>
    <row r="62" spans="1:16" ht="15" customHeight="1" x14ac:dyDescent="0.25">
      <c r="A62" s="2">
        <v>1100103</v>
      </c>
      <c r="B62" s="2" t="s">
        <v>806</v>
      </c>
      <c r="C62" s="2" t="s">
        <v>225</v>
      </c>
      <c r="D62" s="2" t="s">
        <v>552</v>
      </c>
      <c r="E62" s="2" t="s">
        <v>811</v>
      </c>
      <c r="F62" s="2" t="s">
        <v>398</v>
      </c>
      <c r="H62" s="2">
        <v>0</v>
      </c>
      <c r="L62" s="2" t="s">
        <v>812</v>
      </c>
      <c r="M62" s="2" t="s">
        <v>813</v>
      </c>
      <c r="N62" s="2" t="s">
        <v>814</v>
      </c>
    </row>
    <row r="63" spans="1:16" ht="15" customHeight="1" x14ac:dyDescent="0.25">
      <c r="A63" s="2">
        <v>1101101</v>
      </c>
      <c r="B63" s="2" t="s">
        <v>806</v>
      </c>
      <c r="C63" s="2" t="s">
        <v>225</v>
      </c>
      <c r="D63" s="2" t="s">
        <v>552</v>
      </c>
      <c r="E63" s="2" t="s">
        <v>126</v>
      </c>
      <c r="F63" s="2" t="s">
        <v>295</v>
      </c>
      <c r="H63" s="2">
        <v>3</v>
      </c>
      <c r="I63" s="2">
        <v>0</v>
      </c>
      <c r="J63" s="2">
        <v>3</v>
      </c>
      <c r="L63" s="2" t="s">
        <v>815</v>
      </c>
      <c r="M63" s="2" t="s">
        <v>816</v>
      </c>
      <c r="N63" s="2" t="s">
        <v>259</v>
      </c>
      <c r="O63" s="2" t="s">
        <v>817</v>
      </c>
    </row>
    <row r="64" spans="1:16" ht="15" customHeight="1" x14ac:dyDescent="0.25">
      <c r="A64" s="2">
        <v>1101102</v>
      </c>
      <c r="B64" s="2" t="s">
        <v>806</v>
      </c>
      <c r="C64" s="2" t="s">
        <v>225</v>
      </c>
      <c r="D64" s="2" t="s">
        <v>552</v>
      </c>
      <c r="E64" s="2" t="s">
        <v>818</v>
      </c>
      <c r="F64" s="2" t="s">
        <v>295</v>
      </c>
      <c r="H64" s="2">
        <v>4</v>
      </c>
      <c r="I64" s="2">
        <v>3</v>
      </c>
      <c r="J64" s="2">
        <v>3</v>
      </c>
      <c r="L64" s="2" t="s">
        <v>819</v>
      </c>
      <c r="M64" s="2" t="s">
        <v>820</v>
      </c>
    </row>
    <row r="65" spans="1:15" ht="15" customHeight="1" x14ac:dyDescent="0.25">
      <c r="A65" s="2">
        <v>1101201</v>
      </c>
      <c r="B65" s="2" t="s">
        <v>806</v>
      </c>
      <c r="C65" s="2" t="s">
        <v>225</v>
      </c>
      <c r="D65" s="2" t="s">
        <v>554</v>
      </c>
      <c r="E65" s="2" t="s">
        <v>145</v>
      </c>
      <c r="F65" s="2" t="s">
        <v>299</v>
      </c>
      <c r="H65" s="2">
        <v>3</v>
      </c>
      <c r="L65" s="2" t="s">
        <v>821</v>
      </c>
      <c r="M65" s="2" t="s">
        <v>822</v>
      </c>
    </row>
    <row r="66" spans="1:15" ht="15" customHeight="1" x14ac:dyDescent="0.25">
      <c r="A66" s="2">
        <v>1101202</v>
      </c>
      <c r="B66" s="2" t="s">
        <v>806</v>
      </c>
      <c r="C66" s="2" t="s">
        <v>225</v>
      </c>
      <c r="D66" s="2" t="s">
        <v>554</v>
      </c>
      <c r="E66" s="2" t="s">
        <v>139</v>
      </c>
      <c r="F66" s="2" t="s">
        <v>295</v>
      </c>
      <c r="H66" s="2">
        <v>3</v>
      </c>
      <c r="I66" s="2">
        <v>3</v>
      </c>
      <c r="J66" s="2">
        <v>1</v>
      </c>
      <c r="L66" s="2" t="s">
        <v>823</v>
      </c>
      <c r="M66" s="2" t="s">
        <v>249</v>
      </c>
    </row>
    <row r="67" spans="1:15" ht="15" customHeight="1" x14ac:dyDescent="0.25">
      <c r="A67" s="2">
        <v>1101301</v>
      </c>
      <c r="B67" s="2" t="s">
        <v>806</v>
      </c>
      <c r="C67" s="2" t="s">
        <v>225</v>
      </c>
      <c r="D67" s="2" t="s">
        <v>556</v>
      </c>
      <c r="E67" s="2" t="s">
        <v>610</v>
      </c>
      <c r="F67" s="2" t="s">
        <v>295</v>
      </c>
      <c r="H67" s="2">
        <v>2</v>
      </c>
      <c r="I67" s="2">
        <v>1</v>
      </c>
      <c r="J67" s="2">
        <v>3</v>
      </c>
      <c r="L67" s="2" t="s">
        <v>824</v>
      </c>
      <c r="M67" s="2" t="s">
        <v>257</v>
      </c>
    </row>
    <row r="68" spans="1:15" ht="15" customHeight="1" x14ac:dyDescent="0.25">
      <c r="A68" s="2">
        <v>1101401</v>
      </c>
      <c r="B68" s="2" t="s">
        <v>806</v>
      </c>
      <c r="C68" s="2" t="s">
        <v>225</v>
      </c>
      <c r="D68" s="2" t="s">
        <v>558</v>
      </c>
      <c r="E68" s="2" t="s">
        <v>611</v>
      </c>
      <c r="F68" s="2" t="s">
        <v>295</v>
      </c>
      <c r="H68" s="2">
        <v>4</v>
      </c>
      <c r="I68" s="2">
        <v>2</v>
      </c>
      <c r="J68" s="2">
        <v>2</v>
      </c>
      <c r="L68" s="2" t="s">
        <v>825</v>
      </c>
    </row>
    <row r="69" spans="1:15" ht="15" customHeight="1" x14ac:dyDescent="0.25">
      <c r="A69" s="2">
        <v>1101402</v>
      </c>
      <c r="B69" s="2" t="s">
        <v>806</v>
      </c>
      <c r="C69" s="2" t="s">
        <v>225</v>
      </c>
      <c r="D69" s="2" t="s">
        <v>558</v>
      </c>
      <c r="E69" s="2" t="s">
        <v>612</v>
      </c>
      <c r="F69" s="2" t="s">
        <v>297</v>
      </c>
      <c r="H69" s="2">
        <v>4</v>
      </c>
      <c r="L69" s="2" t="s">
        <v>826</v>
      </c>
      <c r="M69" s="2" t="s">
        <v>827</v>
      </c>
    </row>
    <row r="70" spans="1:15" ht="15" customHeight="1" x14ac:dyDescent="0.25">
      <c r="A70" s="2">
        <v>1110101</v>
      </c>
      <c r="B70" s="2" t="s">
        <v>806</v>
      </c>
      <c r="C70" s="2" t="s">
        <v>216</v>
      </c>
      <c r="D70" s="2" t="s">
        <v>552</v>
      </c>
      <c r="E70" s="2" t="s">
        <v>828</v>
      </c>
      <c r="F70" s="2" t="s">
        <v>398</v>
      </c>
      <c r="H70" s="2">
        <v>0</v>
      </c>
      <c r="K70" s="2">
        <v>2</v>
      </c>
      <c r="L70" s="2" t="s">
        <v>829</v>
      </c>
    </row>
    <row r="71" spans="1:15" ht="15" customHeight="1" x14ac:dyDescent="0.25">
      <c r="A71" s="2">
        <v>1110103</v>
      </c>
      <c r="B71" s="2" t="s">
        <v>806</v>
      </c>
      <c r="C71" s="2" t="s">
        <v>216</v>
      </c>
      <c r="D71" s="2" t="s">
        <v>552</v>
      </c>
      <c r="E71" s="2" t="s">
        <v>830</v>
      </c>
      <c r="F71" s="2" t="s">
        <v>297</v>
      </c>
      <c r="H71" s="2">
        <v>6</v>
      </c>
      <c r="L71" s="2" t="s">
        <v>831</v>
      </c>
      <c r="M71" s="2" t="s">
        <v>832</v>
      </c>
    </row>
    <row r="72" spans="1:15" ht="15" customHeight="1" x14ac:dyDescent="0.25">
      <c r="A72" s="2">
        <v>1111101</v>
      </c>
      <c r="B72" s="2" t="s">
        <v>806</v>
      </c>
      <c r="C72" s="2" t="s">
        <v>216</v>
      </c>
      <c r="D72" s="2" t="s">
        <v>552</v>
      </c>
      <c r="E72" s="2" t="s">
        <v>614</v>
      </c>
      <c r="F72" s="2" t="s">
        <v>295</v>
      </c>
      <c r="H72" s="2">
        <v>8</v>
      </c>
      <c r="I72" s="2">
        <v>6</v>
      </c>
      <c r="J72" s="2">
        <v>6</v>
      </c>
      <c r="L72" s="2" t="s">
        <v>833</v>
      </c>
      <c r="M72" s="2" t="s">
        <v>834</v>
      </c>
    </row>
    <row r="73" spans="1:15" ht="15" customHeight="1" x14ac:dyDescent="0.25">
      <c r="A73" s="2">
        <v>1111103</v>
      </c>
      <c r="B73" s="2" t="s">
        <v>806</v>
      </c>
      <c r="C73" s="2" t="s">
        <v>216</v>
      </c>
      <c r="D73" s="2" t="s">
        <v>552</v>
      </c>
      <c r="E73" s="2" t="s">
        <v>615</v>
      </c>
      <c r="F73" s="2" t="s">
        <v>295</v>
      </c>
      <c r="H73" s="2">
        <v>4</v>
      </c>
      <c r="I73" s="2">
        <v>1</v>
      </c>
      <c r="J73" s="2">
        <v>3</v>
      </c>
      <c r="L73" s="2" t="s">
        <v>835</v>
      </c>
      <c r="M73" s="2" t="s">
        <v>253</v>
      </c>
      <c r="N73" s="2" t="s">
        <v>836</v>
      </c>
      <c r="O73" s="2" t="s">
        <v>837</v>
      </c>
    </row>
    <row r="74" spans="1:15" ht="15" customHeight="1" x14ac:dyDescent="0.25">
      <c r="A74" s="2">
        <v>1111201</v>
      </c>
      <c r="B74" s="2" t="s">
        <v>806</v>
      </c>
      <c r="C74" s="2" t="s">
        <v>216</v>
      </c>
      <c r="D74" s="2" t="s">
        <v>554</v>
      </c>
      <c r="E74" s="2" t="s">
        <v>616</v>
      </c>
      <c r="F74" s="2" t="s">
        <v>297</v>
      </c>
      <c r="H74" s="2">
        <v>1</v>
      </c>
      <c r="L74" s="2" t="s">
        <v>838</v>
      </c>
    </row>
    <row r="75" spans="1:15" ht="15" customHeight="1" x14ac:dyDescent="0.25">
      <c r="A75" s="2">
        <v>1111202</v>
      </c>
      <c r="B75" s="2" t="s">
        <v>806</v>
      </c>
      <c r="C75" s="2" t="s">
        <v>216</v>
      </c>
      <c r="D75" s="2" t="s">
        <v>554</v>
      </c>
      <c r="E75" s="2" t="s">
        <v>618</v>
      </c>
      <c r="F75" s="2" t="s">
        <v>295</v>
      </c>
      <c r="H75" s="2">
        <v>9</v>
      </c>
      <c r="I75" s="2">
        <v>4</v>
      </c>
      <c r="J75" s="2">
        <v>6</v>
      </c>
      <c r="L75" s="2" t="s">
        <v>839</v>
      </c>
      <c r="M75" s="2" t="s">
        <v>249</v>
      </c>
      <c r="N75" s="2" t="s">
        <v>257</v>
      </c>
    </row>
    <row r="76" spans="1:15" ht="15" customHeight="1" x14ac:dyDescent="0.25">
      <c r="A76" s="2">
        <v>1111301</v>
      </c>
      <c r="B76" s="2" t="s">
        <v>806</v>
      </c>
      <c r="C76" s="2" t="s">
        <v>216</v>
      </c>
      <c r="D76" s="2" t="s">
        <v>556</v>
      </c>
      <c r="E76" s="2" t="s">
        <v>619</v>
      </c>
      <c r="F76" s="2" t="s">
        <v>299</v>
      </c>
      <c r="H76" s="2">
        <v>3</v>
      </c>
      <c r="L76" s="2" t="s">
        <v>840</v>
      </c>
      <c r="M76" s="2" t="s">
        <v>841</v>
      </c>
      <c r="N76" s="2" t="s">
        <v>693</v>
      </c>
      <c r="O76" s="2" t="s">
        <v>842</v>
      </c>
    </row>
    <row r="77" spans="1:15" ht="15" customHeight="1" x14ac:dyDescent="0.25">
      <c r="A77" s="2">
        <v>1111302</v>
      </c>
      <c r="B77" s="2" t="s">
        <v>806</v>
      </c>
      <c r="C77" s="2" t="s">
        <v>216</v>
      </c>
      <c r="D77" s="2" t="s">
        <v>556</v>
      </c>
      <c r="E77" s="2" t="s">
        <v>620</v>
      </c>
      <c r="F77" s="2" t="s">
        <v>295</v>
      </c>
      <c r="H77" s="2">
        <v>6</v>
      </c>
      <c r="I77" s="2">
        <v>5</v>
      </c>
      <c r="J77" s="2">
        <v>6</v>
      </c>
      <c r="L77" s="2" t="s">
        <v>843</v>
      </c>
      <c r="M77" s="2" t="s">
        <v>844</v>
      </c>
    </row>
    <row r="78" spans="1:15" ht="15" customHeight="1" x14ac:dyDescent="0.25">
      <c r="A78" s="2">
        <v>1111303</v>
      </c>
      <c r="B78" s="2" t="s">
        <v>806</v>
      </c>
      <c r="C78" s="2" t="s">
        <v>216</v>
      </c>
      <c r="D78" s="2" t="s">
        <v>556</v>
      </c>
      <c r="E78" s="2" t="s">
        <v>621</v>
      </c>
      <c r="F78" s="2" t="s">
        <v>295</v>
      </c>
      <c r="H78" s="2">
        <v>4</v>
      </c>
      <c r="I78" s="2">
        <v>4</v>
      </c>
      <c r="J78" s="2">
        <v>4</v>
      </c>
      <c r="L78" s="2" t="s">
        <v>845</v>
      </c>
      <c r="M78" s="2" t="s">
        <v>846</v>
      </c>
    </row>
    <row r="79" spans="1:15" ht="15" customHeight="1" x14ac:dyDescent="0.25">
      <c r="A79" s="2">
        <v>1111401</v>
      </c>
      <c r="B79" s="2" t="s">
        <v>806</v>
      </c>
      <c r="C79" s="2" t="s">
        <v>216</v>
      </c>
      <c r="D79" s="2" t="s">
        <v>558</v>
      </c>
      <c r="E79" s="2" t="s">
        <v>622</v>
      </c>
      <c r="F79" s="2" t="s">
        <v>295</v>
      </c>
      <c r="H79" s="2">
        <v>2</v>
      </c>
      <c r="I79" s="2">
        <v>2</v>
      </c>
      <c r="J79" s="2">
        <v>2</v>
      </c>
      <c r="L79" s="2" t="s">
        <v>847</v>
      </c>
      <c r="M79" s="2" t="s">
        <v>692</v>
      </c>
    </row>
    <row r="80" spans="1:15" ht="15" customHeight="1" x14ac:dyDescent="0.25">
      <c r="A80" s="2">
        <v>1111402</v>
      </c>
      <c r="B80" s="2" t="s">
        <v>806</v>
      </c>
      <c r="C80" s="2" t="s">
        <v>216</v>
      </c>
      <c r="D80" s="2" t="s">
        <v>558</v>
      </c>
      <c r="E80" s="2" t="s">
        <v>623</v>
      </c>
      <c r="F80" s="2" t="s">
        <v>295</v>
      </c>
      <c r="H80" s="2">
        <v>2</v>
      </c>
      <c r="I80" s="2">
        <v>1</v>
      </c>
      <c r="J80" s="2">
        <v>3</v>
      </c>
      <c r="L80" s="2" t="s">
        <v>848</v>
      </c>
    </row>
    <row r="81" spans="1:16" ht="15" customHeight="1" x14ac:dyDescent="0.25">
      <c r="A81" s="2">
        <v>1111403</v>
      </c>
      <c r="B81" s="2" t="s">
        <v>806</v>
      </c>
      <c r="C81" s="2" t="s">
        <v>216</v>
      </c>
      <c r="D81" s="2" t="s">
        <v>558</v>
      </c>
      <c r="E81" s="2" t="s">
        <v>624</v>
      </c>
      <c r="F81" s="2" t="s">
        <v>297</v>
      </c>
      <c r="H81" s="2">
        <v>2</v>
      </c>
      <c r="L81" s="2" t="s">
        <v>849</v>
      </c>
      <c r="M81" s="2" t="s">
        <v>850</v>
      </c>
    </row>
    <row r="82" spans="1:16" ht="15" customHeight="1" x14ac:dyDescent="0.25">
      <c r="A82" s="2">
        <v>1120101</v>
      </c>
      <c r="B82" s="2" t="s">
        <v>806</v>
      </c>
      <c r="C82" s="2" t="s">
        <v>218</v>
      </c>
      <c r="D82" s="2" t="s">
        <v>552</v>
      </c>
      <c r="E82" s="2" t="s">
        <v>851</v>
      </c>
      <c r="F82" s="2" t="s">
        <v>398</v>
      </c>
      <c r="H82" s="2">
        <v>0</v>
      </c>
      <c r="K82" s="2">
        <v>8</v>
      </c>
      <c r="L82" s="2" t="s">
        <v>852</v>
      </c>
      <c r="M82" s="2" t="s">
        <v>853</v>
      </c>
      <c r="N82" s="2" t="s">
        <v>854</v>
      </c>
    </row>
    <row r="83" spans="1:16" ht="15" customHeight="1" x14ac:dyDescent="0.25">
      <c r="A83" s="2">
        <v>1120102</v>
      </c>
      <c r="B83" s="2" t="s">
        <v>806</v>
      </c>
      <c r="C83" s="2" t="s">
        <v>218</v>
      </c>
      <c r="D83" s="2" t="s">
        <v>552</v>
      </c>
      <c r="E83" s="2" t="s">
        <v>855</v>
      </c>
      <c r="F83" s="2" t="s">
        <v>297</v>
      </c>
      <c r="H83" s="2">
        <v>1</v>
      </c>
      <c r="L83" s="2" t="s">
        <v>856</v>
      </c>
    </row>
    <row r="84" spans="1:16" ht="15" customHeight="1" x14ac:dyDescent="0.25">
      <c r="A84" s="2">
        <v>1120401</v>
      </c>
      <c r="B84" s="2" t="s">
        <v>806</v>
      </c>
      <c r="C84" s="2" t="s">
        <v>218</v>
      </c>
      <c r="D84" s="2" t="s">
        <v>558</v>
      </c>
      <c r="E84" s="2" t="s">
        <v>857</v>
      </c>
      <c r="F84" s="2" t="s">
        <v>297</v>
      </c>
      <c r="G84" s="2" t="s">
        <v>672</v>
      </c>
      <c r="H84" s="2">
        <v>1</v>
      </c>
      <c r="L84" s="2" t="s">
        <v>858</v>
      </c>
    </row>
    <row r="85" spans="1:16" ht="15" customHeight="1" x14ac:dyDescent="0.25">
      <c r="A85" s="2">
        <v>1120402</v>
      </c>
      <c r="B85" s="2" t="s">
        <v>806</v>
      </c>
      <c r="C85" s="2" t="s">
        <v>218</v>
      </c>
      <c r="D85" s="2" t="s">
        <v>558</v>
      </c>
      <c r="E85" s="2" t="s">
        <v>859</v>
      </c>
      <c r="F85" s="2" t="s">
        <v>297</v>
      </c>
      <c r="G85" s="2" t="s">
        <v>672</v>
      </c>
      <c r="H85" s="2">
        <v>1</v>
      </c>
      <c r="L85" s="2" t="s">
        <v>860</v>
      </c>
    </row>
    <row r="86" spans="1:16" ht="15" customHeight="1" x14ac:dyDescent="0.25">
      <c r="A86" s="2">
        <v>1120403</v>
      </c>
      <c r="B86" s="2" t="s">
        <v>806</v>
      </c>
      <c r="C86" s="2" t="s">
        <v>218</v>
      </c>
      <c r="D86" s="2" t="s">
        <v>558</v>
      </c>
      <c r="E86" s="2" t="s">
        <v>861</v>
      </c>
      <c r="F86" s="2" t="s">
        <v>297</v>
      </c>
      <c r="G86" s="2" t="s">
        <v>672</v>
      </c>
      <c r="H86" s="2">
        <v>1</v>
      </c>
      <c r="L86" s="2" t="s">
        <v>862</v>
      </c>
    </row>
    <row r="87" spans="1:16" ht="15" customHeight="1" x14ac:dyDescent="0.25">
      <c r="A87" s="2">
        <v>1120405</v>
      </c>
      <c r="B87" s="2" t="s">
        <v>806</v>
      </c>
      <c r="C87" s="2" t="s">
        <v>218</v>
      </c>
      <c r="D87" s="2" t="s">
        <v>558</v>
      </c>
      <c r="E87" s="2" t="s">
        <v>863</v>
      </c>
      <c r="F87" s="2" t="s">
        <v>297</v>
      </c>
      <c r="G87" s="2" t="s">
        <v>672</v>
      </c>
      <c r="H87" s="2">
        <v>1</v>
      </c>
      <c r="L87" s="2" t="s">
        <v>864</v>
      </c>
    </row>
    <row r="88" spans="1:16" ht="15" customHeight="1" x14ac:dyDescent="0.25">
      <c r="A88" s="2">
        <v>1121101</v>
      </c>
      <c r="B88" s="2" t="s">
        <v>806</v>
      </c>
      <c r="C88" s="2" t="s">
        <v>218</v>
      </c>
      <c r="D88" s="2" t="s">
        <v>552</v>
      </c>
      <c r="E88" s="2" t="s">
        <v>140</v>
      </c>
      <c r="F88" s="2" t="s">
        <v>295</v>
      </c>
      <c r="H88" s="2">
        <v>3</v>
      </c>
      <c r="I88" s="2">
        <v>3</v>
      </c>
      <c r="J88" s="2">
        <v>3</v>
      </c>
      <c r="L88" s="2" t="s">
        <v>865</v>
      </c>
      <c r="M88" s="2" t="s">
        <v>866</v>
      </c>
      <c r="N88" s="2" t="s">
        <v>867</v>
      </c>
    </row>
    <row r="89" spans="1:16" ht="15" customHeight="1" x14ac:dyDescent="0.25">
      <c r="A89" s="2">
        <v>1121103</v>
      </c>
      <c r="B89" s="2" t="s">
        <v>806</v>
      </c>
      <c r="C89" s="2" t="s">
        <v>218</v>
      </c>
      <c r="D89" s="2" t="s">
        <v>552</v>
      </c>
      <c r="E89" s="2" t="s">
        <v>165</v>
      </c>
      <c r="F89" s="2" t="s">
        <v>295</v>
      </c>
      <c r="H89" s="2">
        <v>6</v>
      </c>
      <c r="I89" s="2">
        <v>5</v>
      </c>
      <c r="J89" s="2">
        <v>6</v>
      </c>
      <c r="L89" s="2" t="s">
        <v>868</v>
      </c>
      <c r="M89" s="2" t="s">
        <v>869</v>
      </c>
      <c r="N89" s="2" t="s">
        <v>844</v>
      </c>
    </row>
    <row r="90" spans="1:16" ht="15" customHeight="1" x14ac:dyDescent="0.25">
      <c r="A90" s="2">
        <v>1121201</v>
      </c>
      <c r="B90" s="2" t="s">
        <v>806</v>
      </c>
      <c r="C90" s="2" t="s">
        <v>218</v>
      </c>
      <c r="D90" s="2" t="s">
        <v>554</v>
      </c>
      <c r="E90" s="2" t="s">
        <v>114</v>
      </c>
      <c r="F90" s="2" t="s">
        <v>297</v>
      </c>
      <c r="H90" s="2">
        <v>1</v>
      </c>
      <c r="L90" s="2" t="s">
        <v>868</v>
      </c>
      <c r="M90" s="2" t="s">
        <v>705</v>
      </c>
      <c r="N90" s="2" t="s">
        <v>870</v>
      </c>
      <c r="O90" s="2" t="s">
        <v>871</v>
      </c>
    </row>
    <row r="91" spans="1:16" ht="15" customHeight="1" x14ac:dyDescent="0.25">
      <c r="A91" s="2">
        <v>1121202</v>
      </c>
      <c r="B91" s="2" t="s">
        <v>806</v>
      </c>
      <c r="C91" s="2" t="s">
        <v>218</v>
      </c>
      <c r="D91" s="2" t="s">
        <v>554</v>
      </c>
      <c r="E91" s="2" t="s">
        <v>150</v>
      </c>
      <c r="F91" s="2" t="s">
        <v>295</v>
      </c>
      <c r="H91" s="2">
        <v>4</v>
      </c>
      <c r="I91" s="2">
        <v>3</v>
      </c>
      <c r="J91" s="2">
        <v>3</v>
      </c>
      <c r="L91" s="2" t="s">
        <v>872</v>
      </c>
      <c r="M91" s="2" t="s">
        <v>873</v>
      </c>
      <c r="N91" s="2" t="s">
        <v>874</v>
      </c>
      <c r="O91" s="2" t="s">
        <v>875</v>
      </c>
      <c r="P91" s="2" t="s">
        <v>876</v>
      </c>
    </row>
    <row r="92" spans="1:16" ht="15" customHeight="1" x14ac:dyDescent="0.25">
      <c r="A92" s="2">
        <v>1121301</v>
      </c>
      <c r="B92" s="2" t="s">
        <v>806</v>
      </c>
      <c r="C92" s="2" t="s">
        <v>218</v>
      </c>
      <c r="D92" s="2" t="s">
        <v>556</v>
      </c>
      <c r="E92" s="2" t="s">
        <v>110</v>
      </c>
      <c r="F92" s="2" t="s">
        <v>299</v>
      </c>
      <c r="H92" s="2">
        <v>1</v>
      </c>
      <c r="L92" s="2" t="s">
        <v>693</v>
      </c>
      <c r="M92" s="2" t="s">
        <v>877</v>
      </c>
    </row>
    <row r="93" spans="1:16" ht="15" customHeight="1" x14ac:dyDescent="0.25">
      <c r="A93" s="2">
        <v>1121302</v>
      </c>
      <c r="B93" s="2" t="s">
        <v>806</v>
      </c>
      <c r="C93" s="2" t="s">
        <v>218</v>
      </c>
      <c r="D93" s="2" t="s">
        <v>556</v>
      </c>
      <c r="E93" s="2" t="s">
        <v>625</v>
      </c>
      <c r="F93" s="2" t="s">
        <v>295</v>
      </c>
      <c r="H93" s="2">
        <v>5</v>
      </c>
      <c r="I93" s="2">
        <v>3</v>
      </c>
      <c r="J93" s="2">
        <v>5</v>
      </c>
      <c r="L93" s="2" t="s">
        <v>878</v>
      </c>
      <c r="M93" s="2" t="s">
        <v>879</v>
      </c>
    </row>
    <row r="94" spans="1:16" ht="15" customHeight="1" x14ac:dyDescent="0.25">
      <c r="A94" s="2">
        <v>1121303</v>
      </c>
      <c r="B94" s="2" t="s">
        <v>806</v>
      </c>
      <c r="C94" s="2" t="s">
        <v>218</v>
      </c>
      <c r="D94" s="2" t="s">
        <v>556</v>
      </c>
      <c r="E94" s="2" t="s">
        <v>125</v>
      </c>
      <c r="F94" s="2" t="s">
        <v>295</v>
      </c>
      <c r="H94" s="2">
        <v>2</v>
      </c>
      <c r="I94" s="2">
        <v>1</v>
      </c>
      <c r="J94" s="2">
        <v>2</v>
      </c>
      <c r="L94" s="2" t="s">
        <v>880</v>
      </c>
      <c r="M94" s="2" t="s">
        <v>881</v>
      </c>
    </row>
    <row r="95" spans="1:16" ht="15" customHeight="1" x14ac:dyDescent="0.25">
      <c r="A95" s="2">
        <v>1121401</v>
      </c>
      <c r="B95" s="2" t="s">
        <v>806</v>
      </c>
      <c r="C95" s="2" t="s">
        <v>218</v>
      </c>
      <c r="D95" s="2" t="s">
        <v>558</v>
      </c>
      <c r="E95" s="2" t="s">
        <v>120</v>
      </c>
      <c r="F95" s="2" t="s">
        <v>295</v>
      </c>
      <c r="H95" s="2">
        <v>2</v>
      </c>
      <c r="I95" s="2">
        <v>2</v>
      </c>
      <c r="J95" s="2">
        <v>1</v>
      </c>
      <c r="L95" s="2" t="s">
        <v>873</v>
      </c>
      <c r="M95" s="2" t="s">
        <v>882</v>
      </c>
    </row>
    <row r="96" spans="1:16" ht="15" customHeight="1" x14ac:dyDescent="0.25">
      <c r="A96" s="2">
        <v>1121402</v>
      </c>
      <c r="B96" s="2" t="s">
        <v>806</v>
      </c>
      <c r="C96" s="2" t="s">
        <v>218</v>
      </c>
      <c r="D96" s="2" t="s">
        <v>558</v>
      </c>
      <c r="E96" s="2" t="s">
        <v>626</v>
      </c>
      <c r="F96" s="2" t="s">
        <v>297</v>
      </c>
      <c r="H96" s="2">
        <v>2</v>
      </c>
      <c r="L96" s="2" t="s">
        <v>883</v>
      </c>
      <c r="M96" s="2" t="s">
        <v>884</v>
      </c>
    </row>
    <row r="97" spans="1:16" ht="15" customHeight="1" x14ac:dyDescent="0.25">
      <c r="A97" s="2">
        <v>1121403</v>
      </c>
      <c r="B97" s="2" t="s">
        <v>806</v>
      </c>
      <c r="C97" s="2" t="s">
        <v>218</v>
      </c>
      <c r="D97" s="2" t="s">
        <v>558</v>
      </c>
      <c r="E97" s="2" t="s">
        <v>627</v>
      </c>
      <c r="F97" s="2" t="s">
        <v>295</v>
      </c>
      <c r="H97" s="2">
        <v>6</v>
      </c>
      <c r="I97" s="2">
        <v>5</v>
      </c>
      <c r="J97" s="2">
        <v>5</v>
      </c>
      <c r="L97" s="2" t="s">
        <v>885</v>
      </c>
    </row>
    <row r="98" spans="1:16" ht="15" customHeight="1" x14ac:dyDescent="0.25">
      <c r="A98" s="2">
        <v>1130101</v>
      </c>
      <c r="B98" s="2" t="s">
        <v>806</v>
      </c>
      <c r="C98" s="2" t="s">
        <v>219</v>
      </c>
      <c r="D98" s="2" t="s">
        <v>552</v>
      </c>
      <c r="E98" s="2" t="s">
        <v>886</v>
      </c>
      <c r="F98" s="2" t="s">
        <v>297</v>
      </c>
      <c r="H98" s="2">
        <v>4</v>
      </c>
      <c r="L98" s="2" t="s">
        <v>887</v>
      </c>
      <c r="M98" s="2" t="s">
        <v>888</v>
      </c>
    </row>
    <row r="99" spans="1:16" ht="15" customHeight="1" x14ac:dyDescent="0.25">
      <c r="A99" s="2">
        <v>1130401</v>
      </c>
      <c r="B99" s="2" t="s">
        <v>806</v>
      </c>
      <c r="C99" s="2" t="s">
        <v>219</v>
      </c>
      <c r="D99" s="2" t="s">
        <v>558</v>
      </c>
      <c r="E99" s="2" t="s">
        <v>889</v>
      </c>
      <c r="F99" s="2" t="s">
        <v>398</v>
      </c>
      <c r="H99" s="2">
        <v>0</v>
      </c>
      <c r="K99" s="2">
        <v>2</v>
      </c>
      <c r="L99" s="2" t="s">
        <v>890</v>
      </c>
      <c r="M99" s="2" t="s">
        <v>891</v>
      </c>
    </row>
    <row r="100" spans="1:16" ht="15" customHeight="1" x14ac:dyDescent="0.25">
      <c r="A100" s="2">
        <v>1131101</v>
      </c>
      <c r="B100" s="2" t="s">
        <v>806</v>
      </c>
      <c r="C100" s="2" t="s">
        <v>219</v>
      </c>
      <c r="D100" s="2" t="s">
        <v>552</v>
      </c>
      <c r="E100" s="2" t="s">
        <v>628</v>
      </c>
      <c r="F100" s="2" t="s">
        <v>295</v>
      </c>
      <c r="H100" s="2">
        <v>2</v>
      </c>
      <c r="I100" s="2">
        <v>1</v>
      </c>
      <c r="J100" s="2">
        <v>1</v>
      </c>
      <c r="L100" s="2" t="s">
        <v>892</v>
      </c>
      <c r="M100" s="2" t="s">
        <v>893</v>
      </c>
    </row>
    <row r="101" spans="1:16" ht="15" customHeight="1" x14ac:dyDescent="0.25">
      <c r="A101" s="2">
        <v>1131103</v>
      </c>
      <c r="B101" s="2" t="s">
        <v>806</v>
      </c>
      <c r="C101" s="2" t="s">
        <v>219</v>
      </c>
      <c r="D101" s="2" t="s">
        <v>552</v>
      </c>
      <c r="E101" s="2" t="s">
        <v>629</v>
      </c>
      <c r="F101" s="2" t="s">
        <v>295</v>
      </c>
      <c r="H101" s="2">
        <v>9</v>
      </c>
      <c r="I101" s="2">
        <v>9</v>
      </c>
      <c r="J101" s="2">
        <v>9</v>
      </c>
      <c r="L101" s="2" t="s">
        <v>894</v>
      </c>
      <c r="M101" s="2" t="s">
        <v>895</v>
      </c>
    </row>
    <row r="102" spans="1:16" ht="15" customHeight="1" x14ac:dyDescent="0.25">
      <c r="A102" s="2">
        <v>1131201</v>
      </c>
      <c r="B102" s="2" t="s">
        <v>806</v>
      </c>
      <c r="C102" s="2" t="s">
        <v>219</v>
      </c>
      <c r="D102" s="2" t="s">
        <v>554</v>
      </c>
      <c r="E102" s="2" t="s">
        <v>630</v>
      </c>
      <c r="F102" s="2" t="s">
        <v>297</v>
      </c>
      <c r="H102" s="2">
        <v>2</v>
      </c>
      <c r="L102" s="2" t="s">
        <v>896</v>
      </c>
      <c r="M102" s="2" t="s">
        <v>897</v>
      </c>
    </row>
    <row r="103" spans="1:16" ht="15" customHeight="1" x14ac:dyDescent="0.25">
      <c r="A103" s="2">
        <v>1131202</v>
      </c>
      <c r="B103" s="2" t="s">
        <v>806</v>
      </c>
      <c r="C103" s="2" t="s">
        <v>219</v>
      </c>
      <c r="D103" s="2" t="s">
        <v>554</v>
      </c>
      <c r="E103" s="2" t="s">
        <v>631</v>
      </c>
      <c r="F103" s="2" t="s">
        <v>295</v>
      </c>
      <c r="H103" s="2">
        <v>3</v>
      </c>
      <c r="I103" s="2">
        <v>3</v>
      </c>
      <c r="J103" s="2">
        <v>1</v>
      </c>
      <c r="L103" s="2" t="s">
        <v>898</v>
      </c>
      <c r="M103" s="2" t="s">
        <v>249</v>
      </c>
      <c r="N103" s="2" t="s">
        <v>899</v>
      </c>
    </row>
    <row r="104" spans="1:16" ht="15" customHeight="1" x14ac:dyDescent="0.25">
      <c r="A104" s="2">
        <v>1131301</v>
      </c>
      <c r="B104" s="2" t="s">
        <v>806</v>
      </c>
      <c r="C104" s="2" t="s">
        <v>219</v>
      </c>
      <c r="D104" s="2" t="s">
        <v>556</v>
      </c>
      <c r="E104" s="2" t="s">
        <v>632</v>
      </c>
      <c r="F104" s="2" t="s">
        <v>299</v>
      </c>
      <c r="H104" s="2">
        <v>3</v>
      </c>
      <c r="K104" s="2">
        <v>5</v>
      </c>
      <c r="L104" s="2" t="s">
        <v>900</v>
      </c>
      <c r="M104" s="2" t="s">
        <v>901</v>
      </c>
      <c r="N104" s="2" t="s">
        <v>902</v>
      </c>
    </row>
    <row r="105" spans="1:16" ht="15" customHeight="1" x14ac:dyDescent="0.25">
      <c r="A105" s="2">
        <v>1131302</v>
      </c>
      <c r="B105" s="2" t="s">
        <v>806</v>
      </c>
      <c r="C105" s="2" t="s">
        <v>219</v>
      </c>
      <c r="D105" s="2" t="s">
        <v>556</v>
      </c>
      <c r="E105" s="2" t="s">
        <v>633</v>
      </c>
      <c r="F105" s="2" t="s">
        <v>297</v>
      </c>
      <c r="H105" s="2">
        <v>4</v>
      </c>
      <c r="L105" s="2" t="s">
        <v>903</v>
      </c>
      <c r="M105" s="2" t="s">
        <v>741</v>
      </c>
    </row>
    <row r="106" spans="1:16" ht="15" customHeight="1" x14ac:dyDescent="0.25">
      <c r="A106" s="2">
        <v>1131303</v>
      </c>
      <c r="B106" s="2" t="s">
        <v>806</v>
      </c>
      <c r="C106" s="2" t="s">
        <v>219</v>
      </c>
      <c r="D106" s="2" t="s">
        <v>556</v>
      </c>
      <c r="E106" s="2" t="s">
        <v>634</v>
      </c>
      <c r="F106" s="2" t="s">
        <v>295</v>
      </c>
      <c r="H106" s="2">
        <v>5</v>
      </c>
      <c r="I106" s="2">
        <v>3</v>
      </c>
      <c r="J106" s="2">
        <v>2</v>
      </c>
      <c r="L106" s="2" t="s">
        <v>904</v>
      </c>
      <c r="M106" s="2" t="s">
        <v>905</v>
      </c>
    </row>
    <row r="107" spans="1:16" ht="15" customHeight="1" x14ac:dyDescent="0.25">
      <c r="A107" s="2">
        <v>1131401</v>
      </c>
      <c r="B107" s="2" t="s">
        <v>806</v>
      </c>
      <c r="C107" s="2" t="s">
        <v>219</v>
      </c>
      <c r="D107" s="2" t="s">
        <v>558</v>
      </c>
      <c r="E107" s="2" t="s">
        <v>635</v>
      </c>
      <c r="F107" s="2" t="s">
        <v>295</v>
      </c>
      <c r="H107" s="2">
        <v>2</v>
      </c>
      <c r="I107" s="2">
        <v>2</v>
      </c>
      <c r="J107" s="2">
        <v>2</v>
      </c>
      <c r="L107" s="2" t="s">
        <v>906</v>
      </c>
    </row>
    <row r="108" spans="1:16" ht="15" customHeight="1" x14ac:dyDescent="0.25">
      <c r="A108" s="2">
        <v>1131402</v>
      </c>
      <c r="B108" s="2" t="s">
        <v>806</v>
      </c>
      <c r="C108" s="2" t="s">
        <v>219</v>
      </c>
      <c r="D108" s="2" t="s">
        <v>558</v>
      </c>
      <c r="E108" s="2" t="s">
        <v>636</v>
      </c>
      <c r="F108" s="2" t="s">
        <v>295</v>
      </c>
      <c r="H108" s="2">
        <v>4</v>
      </c>
      <c r="I108" s="2">
        <v>3</v>
      </c>
      <c r="J108" s="2">
        <v>3</v>
      </c>
      <c r="L108" s="2" t="s">
        <v>907</v>
      </c>
      <c r="M108" s="2" t="s">
        <v>692</v>
      </c>
    </row>
    <row r="109" spans="1:16" ht="15" customHeight="1" x14ac:dyDescent="0.25">
      <c r="A109" s="2">
        <v>1131403</v>
      </c>
      <c r="B109" s="2" t="s">
        <v>806</v>
      </c>
      <c r="C109" s="2" t="s">
        <v>219</v>
      </c>
      <c r="D109" s="2" t="s">
        <v>558</v>
      </c>
      <c r="E109" s="2" t="s">
        <v>637</v>
      </c>
      <c r="F109" s="2" t="s">
        <v>297</v>
      </c>
      <c r="H109" s="2">
        <v>4</v>
      </c>
      <c r="L109" s="2" t="s">
        <v>908</v>
      </c>
    </row>
    <row r="110" spans="1:16" ht="15" customHeight="1" x14ac:dyDescent="0.25">
      <c r="A110" s="2">
        <v>1140101</v>
      </c>
      <c r="B110" s="2" t="s">
        <v>806</v>
      </c>
      <c r="C110" s="2" t="s">
        <v>220</v>
      </c>
      <c r="D110" s="2" t="s">
        <v>552</v>
      </c>
      <c r="E110" s="2" t="s">
        <v>909</v>
      </c>
      <c r="F110" s="2" t="s">
        <v>398</v>
      </c>
      <c r="H110" s="2">
        <v>0</v>
      </c>
      <c r="L110" s="2" t="s">
        <v>910</v>
      </c>
    </row>
    <row r="111" spans="1:16" ht="15" customHeight="1" x14ac:dyDescent="0.25">
      <c r="A111" s="2">
        <v>1140102</v>
      </c>
      <c r="B111" s="2" t="s">
        <v>806</v>
      </c>
      <c r="C111" s="2" t="s">
        <v>220</v>
      </c>
      <c r="D111" s="2" t="s">
        <v>552</v>
      </c>
      <c r="E111" s="2" t="s">
        <v>911</v>
      </c>
      <c r="F111" s="2" t="s">
        <v>297</v>
      </c>
      <c r="H111" s="2">
        <v>0</v>
      </c>
      <c r="L111" s="2" t="s">
        <v>912</v>
      </c>
    </row>
    <row r="112" spans="1:16" ht="15" customHeight="1" x14ac:dyDescent="0.25">
      <c r="A112" s="2">
        <v>1141101</v>
      </c>
      <c r="B112" s="2" t="s">
        <v>806</v>
      </c>
      <c r="C112" s="2" t="s">
        <v>220</v>
      </c>
      <c r="D112" s="2" t="s">
        <v>552</v>
      </c>
      <c r="E112" s="2" t="s">
        <v>638</v>
      </c>
      <c r="F112" s="2" t="s">
        <v>295</v>
      </c>
      <c r="H112" s="2">
        <v>9</v>
      </c>
      <c r="I112" s="2">
        <v>5</v>
      </c>
      <c r="J112" s="2">
        <v>7</v>
      </c>
      <c r="L112" s="2" t="s">
        <v>913</v>
      </c>
      <c r="M112" s="2" t="s">
        <v>257</v>
      </c>
      <c r="N112" s="2" t="s">
        <v>914</v>
      </c>
      <c r="O112" s="2" t="s">
        <v>915</v>
      </c>
      <c r="P112" s="2" t="s">
        <v>916</v>
      </c>
    </row>
    <row r="113" spans="1:14" ht="15" customHeight="1" x14ac:dyDescent="0.25">
      <c r="A113" s="2">
        <v>1141102</v>
      </c>
      <c r="B113" s="2" t="s">
        <v>806</v>
      </c>
      <c r="C113" s="2" t="s">
        <v>220</v>
      </c>
      <c r="D113" s="2" t="s">
        <v>552</v>
      </c>
      <c r="E113" s="2" t="s">
        <v>639</v>
      </c>
      <c r="F113" s="2" t="s">
        <v>295</v>
      </c>
      <c r="H113" s="2">
        <v>5</v>
      </c>
      <c r="I113" s="2">
        <v>5</v>
      </c>
      <c r="J113" s="2">
        <v>5</v>
      </c>
      <c r="L113" s="2" t="s">
        <v>917</v>
      </c>
      <c r="M113" s="2" t="s">
        <v>918</v>
      </c>
      <c r="N113" s="2" t="s">
        <v>919</v>
      </c>
    </row>
    <row r="114" spans="1:14" ht="15" customHeight="1" x14ac:dyDescent="0.25">
      <c r="A114" s="2">
        <v>1141201</v>
      </c>
      <c r="B114" s="2" t="s">
        <v>806</v>
      </c>
      <c r="C114" s="2" t="s">
        <v>220</v>
      </c>
      <c r="D114" s="2" t="s">
        <v>554</v>
      </c>
      <c r="E114" s="2" t="s">
        <v>640</v>
      </c>
      <c r="F114" s="2" t="s">
        <v>297</v>
      </c>
      <c r="H114" s="2">
        <v>1</v>
      </c>
      <c r="L114" s="2" t="s">
        <v>920</v>
      </c>
      <c r="M114" s="2" t="s">
        <v>921</v>
      </c>
      <c r="N114" s="2" t="s">
        <v>922</v>
      </c>
    </row>
    <row r="115" spans="1:14" ht="15" customHeight="1" x14ac:dyDescent="0.25">
      <c r="A115" s="2">
        <v>1141202</v>
      </c>
      <c r="B115" s="2" t="s">
        <v>806</v>
      </c>
      <c r="C115" s="2" t="s">
        <v>220</v>
      </c>
      <c r="D115" s="2" t="s">
        <v>554</v>
      </c>
      <c r="E115" s="2" t="s">
        <v>641</v>
      </c>
      <c r="F115" s="2" t="s">
        <v>295</v>
      </c>
      <c r="H115" s="2">
        <v>6</v>
      </c>
      <c r="I115" s="2">
        <v>5</v>
      </c>
      <c r="J115" s="2">
        <v>7</v>
      </c>
      <c r="L115" s="2" t="s">
        <v>923</v>
      </c>
      <c r="M115" s="2" t="s">
        <v>924</v>
      </c>
    </row>
    <row r="116" spans="1:14" ht="15" customHeight="1" x14ac:dyDescent="0.25">
      <c r="A116" s="2">
        <v>1141301</v>
      </c>
      <c r="B116" s="2" t="s">
        <v>806</v>
      </c>
      <c r="C116" s="2" t="s">
        <v>220</v>
      </c>
      <c r="D116" s="2" t="s">
        <v>556</v>
      </c>
      <c r="E116" s="2" t="s">
        <v>642</v>
      </c>
      <c r="F116" s="2" t="s">
        <v>299</v>
      </c>
      <c r="H116" s="2">
        <v>2</v>
      </c>
      <c r="K116" s="2">
        <v>4</v>
      </c>
      <c r="L116" s="2" t="s">
        <v>925</v>
      </c>
    </row>
    <row r="117" spans="1:14" ht="15" customHeight="1" x14ac:dyDescent="0.25">
      <c r="A117" s="2">
        <v>1141302</v>
      </c>
      <c r="B117" s="2" t="s">
        <v>806</v>
      </c>
      <c r="C117" s="2" t="s">
        <v>220</v>
      </c>
      <c r="D117" s="2" t="s">
        <v>556</v>
      </c>
      <c r="E117" s="2" t="s">
        <v>643</v>
      </c>
      <c r="F117" s="2" t="s">
        <v>295</v>
      </c>
      <c r="H117" s="2">
        <v>3</v>
      </c>
      <c r="I117" s="2">
        <v>1</v>
      </c>
      <c r="J117" s="2">
        <v>1</v>
      </c>
      <c r="L117" s="2" t="s">
        <v>926</v>
      </c>
      <c r="M117" s="2" t="s">
        <v>927</v>
      </c>
    </row>
    <row r="118" spans="1:14" ht="15" customHeight="1" x14ac:dyDescent="0.25">
      <c r="A118" s="2">
        <v>1141304</v>
      </c>
      <c r="B118" s="2" t="s">
        <v>806</v>
      </c>
      <c r="C118" s="2" t="s">
        <v>220</v>
      </c>
      <c r="D118" s="2" t="s">
        <v>556</v>
      </c>
      <c r="E118" s="2" t="s">
        <v>644</v>
      </c>
      <c r="F118" s="2" t="s">
        <v>295</v>
      </c>
      <c r="H118" s="2">
        <v>5</v>
      </c>
      <c r="I118" s="2">
        <v>3</v>
      </c>
      <c r="J118" s="2">
        <v>5</v>
      </c>
      <c r="L118" s="2" t="s">
        <v>249</v>
      </c>
      <c r="M118" s="2" t="s">
        <v>257</v>
      </c>
      <c r="N118" s="2" t="s">
        <v>928</v>
      </c>
    </row>
    <row r="119" spans="1:14" ht="15" customHeight="1" x14ac:dyDescent="0.25">
      <c r="A119" s="2">
        <v>1141401</v>
      </c>
      <c r="B119" s="2" t="s">
        <v>806</v>
      </c>
      <c r="C119" s="2" t="s">
        <v>220</v>
      </c>
      <c r="D119" s="2" t="s">
        <v>558</v>
      </c>
      <c r="E119" s="2" t="s">
        <v>645</v>
      </c>
      <c r="F119" s="2" t="s">
        <v>295</v>
      </c>
      <c r="H119" s="2">
        <v>2</v>
      </c>
      <c r="I119" s="2">
        <v>2</v>
      </c>
      <c r="J119" s="2">
        <v>2</v>
      </c>
      <c r="L119" s="2" t="s">
        <v>929</v>
      </c>
    </row>
    <row r="120" spans="1:14" ht="15" customHeight="1" x14ac:dyDescent="0.25">
      <c r="A120" s="2">
        <v>1141402</v>
      </c>
      <c r="B120" s="2" t="s">
        <v>806</v>
      </c>
      <c r="C120" s="2" t="s">
        <v>220</v>
      </c>
      <c r="D120" s="2" t="s">
        <v>558</v>
      </c>
      <c r="E120" s="2" t="s">
        <v>646</v>
      </c>
      <c r="F120" s="2" t="s">
        <v>297</v>
      </c>
      <c r="H120" s="2">
        <v>3</v>
      </c>
      <c r="L120" s="2" t="s">
        <v>930</v>
      </c>
      <c r="M120" s="2" t="s">
        <v>931</v>
      </c>
    </row>
    <row r="121" spans="1:14" ht="15" customHeight="1" x14ac:dyDescent="0.25">
      <c r="A121" s="2">
        <v>1141403</v>
      </c>
      <c r="B121" s="2" t="s">
        <v>806</v>
      </c>
      <c r="C121" s="2" t="s">
        <v>220</v>
      </c>
      <c r="D121" s="2" t="s">
        <v>558</v>
      </c>
      <c r="E121" s="2" t="s">
        <v>647</v>
      </c>
      <c r="F121" s="2" t="s">
        <v>295</v>
      </c>
      <c r="H121" s="2">
        <v>6</v>
      </c>
      <c r="I121" s="2">
        <v>6</v>
      </c>
      <c r="J121" s="2">
        <v>6</v>
      </c>
      <c r="L121" s="2" t="s">
        <v>932</v>
      </c>
    </row>
    <row r="122" spans="1:14" ht="15" customHeight="1" x14ac:dyDescent="0.25">
      <c r="A122" s="2">
        <v>1150101</v>
      </c>
      <c r="B122" s="2" t="s">
        <v>806</v>
      </c>
      <c r="C122" s="2" t="s">
        <v>222</v>
      </c>
      <c r="D122" s="2" t="s">
        <v>552</v>
      </c>
      <c r="E122" s="2" t="s">
        <v>933</v>
      </c>
      <c r="F122" s="2" t="s">
        <v>551</v>
      </c>
      <c r="H122" s="2">
        <v>0</v>
      </c>
      <c r="L122" s="2" t="s">
        <v>934</v>
      </c>
    </row>
    <row r="123" spans="1:14" ht="15" customHeight="1" x14ac:dyDescent="0.25">
      <c r="A123" s="2">
        <v>1150102</v>
      </c>
      <c r="B123" s="2" t="s">
        <v>806</v>
      </c>
      <c r="C123" s="2" t="s">
        <v>222</v>
      </c>
      <c r="D123" s="2" t="s">
        <v>552</v>
      </c>
      <c r="E123" s="2" t="s">
        <v>935</v>
      </c>
      <c r="F123" s="2" t="s">
        <v>297</v>
      </c>
      <c r="H123" s="2">
        <v>0</v>
      </c>
      <c r="L123" s="2" t="s">
        <v>936</v>
      </c>
    </row>
    <row r="124" spans="1:14" ht="15" customHeight="1" x14ac:dyDescent="0.25">
      <c r="A124" s="2">
        <v>1150103</v>
      </c>
      <c r="B124" s="2" t="s">
        <v>806</v>
      </c>
      <c r="C124" s="2" t="s">
        <v>222</v>
      </c>
      <c r="D124" s="2" t="s">
        <v>552</v>
      </c>
      <c r="E124" s="2" t="s">
        <v>937</v>
      </c>
      <c r="F124" s="2" t="s">
        <v>297</v>
      </c>
      <c r="H124" s="2">
        <v>0</v>
      </c>
      <c r="L124" s="2" t="s">
        <v>938</v>
      </c>
    </row>
    <row r="125" spans="1:14" ht="15" customHeight="1" x14ac:dyDescent="0.25">
      <c r="A125" s="2">
        <v>1151101</v>
      </c>
      <c r="B125" s="2" t="s">
        <v>806</v>
      </c>
      <c r="C125" s="2" t="s">
        <v>222</v>
      </c>
      <c r="D125" s="2" t="s">
        <v>552</v>
      </c>
      <c r="E125" s="2" t="s">
        <v>648</v>
      </c>
      <c r="F125" s="2" t="s">
        <v>295</v>
      </c>
      <c r="H125" s="2">
        <v>7</v>
      </c>
      <c r="I125" s="2">
        <v>5</v>
      </c>
      <c r="J125" s="2">
        <v>5</v>
      </c>
      <c r="L125" s="2" t="s">
        <v>939</v>
      </c>
    </row>
    <row r="126" spans="1:14" ht="15" customHeight="1" x14ac:dyDescent="0.25">
      <c r="A126" s="2">
        <v>1151102</v>
      </c>
      <c r="B126" s="2" t="s">
        <v>806</v>
      </c>
      <c r="C126" s="2" t="s">
        <v>222</v>
      </c>
      <c r="D126" s="2" t="s">
        <v>552</v>
      </c>
      <c r="E126" s="2" t="s">
        <v>649</v>
      </c>
      <c r="F126" s="2" t="s">
        <v>295</v>
      </c>
      <c r="H126" s="2">
        <v>2</v>
      </c>
      <c r="I126" s="2">
        <v>2</v>
      </c>
      <c r="J126" s="2">
        <v>2</v>
      </c>
      <c r="L126" s="2" t="s">
        <v>940</v>
      </c>
      <c r="M126" s="2" t="s">
        <v>941</v>
      </c>
      <c r="N126" s="2" t="s">
        <v>942</v>
      </c>
    </row>
    <row r="127" spans="1:14" ht="15" customHeight="1" x14ac:dyDescent="0.25">
      <c r="A127" s="2">
        <v>1151201</v>
      </c>
      <c r="B127" s="2" t="s">
        <v>806</v>
      </c>
      <c r="C127" s="2" t="s">
        <v>222</v>
      </c>
      <c r="D127" s="2" t="s">
        <v>554</v>
      </c>
      <c r="E127" s="2" t="s">
        <v>650</v>
      </c>
      <c r="F127" s="2" t="s">
        <v>297</v>
      </c>
      <c r="H127" s="2">
        <v>3</v>
      </c>
      <c r="L127" s="2" t="s">
        <v>943</v>
      </c>
    </row>
    <row r="128" spans="1:14" ht="15" customHeight="1" x14ac:dyDescent="0.25">
      <c r="A128" s="2">
        <v>1151202</v>
      </c>
      <c r="B128" s="2" t="s">
        <v>806</v>
      </c>
      <c r="C128" s="2" t="s">
        <v>222</v>
      </c>
      <c r="D128" s="2" t="s">
        <v>554</v>
      </c>
      <c r="E128" s="2" t="s">
        <v>651</v>
      </c>
      <c r="F128" s="2" t="s">
        <v>295</v>
      </c>
      <c r="H128" s="2">
        <v>5</v>
      </c>
      <c r="I128" s="2">
        <v>4</v>
      </c>
      <c r="J128" s="2">
        <v>4</v>
      </c>
      <c r="L128" s="2" t="s">
        <v>944</v>
      </c>
      <c r="M128" s="2" t="s">
        <v>844</v>
      </c>
    </row>
    <row r="129" spans="1:14" ht="15" customHeight="1" x14ac:dyDescent="0.25">
      <c r="A129" s="2">
        <v>1151301</v>
      </c>
      <c r="B129" s="2" t="s">
        <v>806</v>
      </c>
      <c r="C129" s="2" t="s">
        <v>222</v>
      </c>
      <c r="D129" s="2" t="s">
        <v>556</v>
      </c>
      <c r="E129" s="2" t="s">
        <v>652</v>
      </c>
      <c r="F129" s="2" t="s">
        <v>295</v>
      </c>
      <c r="H129" s="2">
        <v>2</v>
      </c>
      <c r="I129" s="2">
        <v>2</v>
      </c>
      <c r="J129" s="2">
        <v>2</v>
      </c>
      <c r="L129" s="2" t="s">
        <v>945</v>
      </c>
      <c r="M129" s="2" t="s">
        <v>946</v>
      </c>
    </row>
    <row r="130" spans="1:14" ht="15" customHeight="1" x14ac:dyDescent="0.25">
      <c r="A130" s="2">
        <v>1151302</v>
      </c>
      <c r="B130" s="2" t="s">
        <v>806</v>
      </c>
      <c r="C130" s="2" t="s">
        <v>222</v>
      </c>
      <c r="D130" s="2" t="s">
        <v>556</v>
      </c>
      <c r="E130" s="2" t="s">
        <v>653</v>
      </c>
      <c r="F130" s="2" t="s">
        <v>299</v>
      </c>
      <c r="H130" s="2">
        <v>2</v>
      </c>
      <c r="L130" s="2" t="s">
        <v>947</v>
      </c>
      <c r="M130" s="2" t="s">
        <v>948</v>
      </c>
      <c r="N130" s="2" t="s">
        <v>949</v>
      </c>
    </row>
    <row r="131" spans="1:14" ht="15" customHeight="1" x14ac:dyDescent="0.25">
      <c r="A131" s="2">
        <v>1151303</v>
      </c>
      <c r="B131" s="2" t="s">
        <v>806</v>
      </c>
      <c r="C131" s="2" t="s">
        <v>222</v>
      </c>
      <c r="D131" s="2" t="s">
        <v>556</v>
      </c>
      <c r="E131" s="2" t="s">
        <v>654</v>
      </c>
      <c r="F131" s="2" t="s">
        <v>295</v>
      </c>
      <c r="H131" s="2">
        <v>4</v>
      </c>
      <c r="I131" s="2">
        <v>4</v>
      </c>
      <c r="J131" s="2">
        <v>4</v>
      </c>
      <c r="L131" s="2" t="s">
        <v>950</v>
      </c>
      <c r="M131" s="2" t="s">
        <v>692</v>
      </c>
    </row>
    <row r="132" spans="1:14" ht="15" customHeight="1" x14ac:dyDescent="0.25">
      <c r="A132" s="2">
        <v>1151401</v>
      </c>
      <c r="B132" s="2" t="s">
        <v>806</v>
      </c>
      <c r="C132" s="2" t="s">
        <v>222</v>
      </c>
      <c r="D132" s="2" t="s">
        <v>558</v>
      </c>
      <c r="E132" s="2" t="s">
        <v>655</v>
      </c>
      <c r="F132" s="2" t="s">
        <v>295</v>
      </c>
      <c r="H132" s="2">
        <v>3</v>
      </c>
      <c r="I132" s="2">
        <v>1</v>
      </c>
      <c r="J132" s="2">
        <v>1</v>
      </c>
      <c r="L132" s="2" t="s">
        <v>951</v>
      </c>
      <c r="M132" s="2" t="s">
        <v>692</v>
      </c>
    </row>
    <row r="133" spans="1:14" ht="15" customHeight="1" x14ac:dyDescent="0.25">
      <c r="A133" s="2">
        <v>1151402</v>
      </c>
      <c r="B133" s="2" t="s">
        <v>806</v>
      </c>
      <c r="C133" s="2" t="s">
        <v>222</v>
      </c>
      <c r="D133" s="2" t="s">
        <v>558</v>
      </c>
      <c r="E133" s="2" t="s">
        <v>656</v>
      </c>
      <c r="F133" s="2" t="s">
        <v>297</v>
      </c>
      <c r="H133" s="2">
        <v>4</v>
      </c>
      <c r="L133" s="2" t="s">
        <v>952</v>
      </c>
      <c r="M133" s="2" t="s">
        <v>953</v>
      </c>
    </row>
    <row r="134" spans="1:14" ht="15" customHeight="1" x14ac:dyDescent="0.25">
      <c r="A134" s="2">
        <v>1151403</v>
      </c>
      <c r="B134" s="2" t="s">
        <v>806</v>
      </c>
      <c r="C134" s="2" t="s">
        <v>222</v>
      </c>
      <c r="D134" s="2" t="s">
        <v>558</v>
      </c>
      <c r="E134" s="2" t="s">
        <v>657</v>
      </c>
      <c r="F134" s="2" t="s">
        <v>295</v>
      </c>
      <c r="H134" s="2">
        <v>8</v>
      </c>
      <c r="I134" s="2">
        <v>4</v>
      </c>
      <c r="J134" s="2">
        <v>6</v>
      </c>
      <c r="L134" s="2" t="s">
        <v>954</v>
      </c>
      <c r="M134" s="2" t="s">
        <v>955</v>
      </c>
      <c r="N134" s="2" t="s">
        <v>251</v>
      </c>
    </row>
    <row r="135" spans="1:14" ht="15" customHeight="1" x14ac:dyDescent="0.25">
      <c r="A135" s="2">
        <v>1160101</v>
      </c>
      <c r="B135" s="2" t="s">
        <v>806</v>
      </c>
      <c r="C135" s="2" t="s">
        <v>224</v>
      </c>
      <c r="D135" s="2" t="s">
        <v>552</v>
      </c>
      <c r="E135" s="2" t="s">
        <v>956</v>
      </c>
      <c r="F135" s="2" t="s">
        <v>398</v>
      </c>
      <c r="H135" s="2">
        <v>0</v>
      </c>
      <c r="L135" s="2" t="s">
        <v>957</v>
      </c>
    </row>
    <row r="136" spans="1:14" ht="15" customHeight="1" x14ac:dyDescent="0.25">
      <c r="A136" s="2">
        <v>1160102</v>
      </c>
      <c r="B136" s="2" t="s">
        <v>806</v>
      </c>
      <c r="C136" s="2" t="s">
        <v>224</v>
      </c>
      <c r="D136" s="2" t="s">
        <v>552</v>
      </c>
      <c r="E136" s="2" t="s">
        <v>958</v>
      </c>
      <c r="F136" s="2" t="s">
        <v>297</v>
      </c>
      <c r="H136" s="2">
        <v>2</v>
      </c>
      <c r="L136" s="2" t="s">
        <v>959</v>
      </c>
      <c r="M136" s="2" t="s">
        <v>960</v>
      </c>
    </row>
    <row r="137" spans="1:14" ht="15" customHeight="1" x14ac:dyDescent="0.25">
      <c r="A137" s="2">
        <v>1160103</v>
      </c>
      <c r="B137" s="2" t="s">
        <v>806</v>
      </c>
      <c r="C137" s="2" t="s">
        <v>224</v>
      </c>
      <c r="D137" s="2" t="s">
        <v>552</v>
      </c>
      <c r="E137" s="2" t="s">
        <v>961</v>
      </c>
      <c r="F137" s="2" t="s">
        <v>398</v>
      </c>
      <c r="H137" s="2">
        <v>0</v>
      </c>
      <c r="L137" s="2" t="s">
        <v>962</v>
      </c>
    </row>
    <row r="138" spans="1:14" ht="15" customHeight="1" x14ac:dyDescent="0.25">
      <c r="A138" s="2">
        <v>1160104</v>
      </c>
      <c r="B138" s="2" t="s">
        <v>806</v>
      </c>
      <c r="C138" s="2" t="s">
        <v>224</v>
      </c>
      <c r="D138" s="2" t="s">
        <v>552</v>
      </c>
      <c r="E138" s="2" t="s">
        <v>963</v>
      </c>
      <c r="F138" s="2" t="s">
        <v>398</v>
      </c>
      <c r="H138" s="2">
        <v>0</v>
      </c>
      <c r="K138" s="2">
        <v>4</v>
      </c>
      <c r="L138" s="2" t="s">
        <v>2411</v>
      </c>
    </row>
    <row r="139" spans="1:14" ht="15" customHeight="1" x14ac:dyDescent="0.25">
      <c r="A139" s="2">
        <v>1160201</v>
      </c>
      <c r="B139" s="2" t="s">
        <v>806</v>
      </c>
      <c r="C139" s="2" t="s">
        <v>224</v>
      </c>
      <c r="D139" s="2" t="s">
        <v>554</v>
      </c>
      <c r="E139" s="2" t="s">
        <v>964</v>
      </c>
      <c r="F139" s="2" t="s">
        <v>398</v>
      </c>
      <c r="H139" s="2">
        <v>0</v>
      </c>
      <c r="K139" s="2">
        <v>4</v>
      </c>
      <c r="L139" s="2" t="s">
        <v>965</v>
      </c>
    </row>
    <row r="140" spans="1:14" ht="15" customHeight="1" x14ac:dyDescent="0.25">
      <c r="A140" s="2">
        <v>1160301</v>
      </c>
      <c r="B140" s="2" t="s">
        <v>806</v>
      </c>
      <c r="C140" s="2" t="s">
        <v>224</v>
      </c>
      <c r="D140" s="2" t="s">
        <v>556</v>
      </c>
      <c r="E140" s="2" t="s">
        <v>966</v>
      </c>
      <c r="F140" s="2" t="s">
        <v>398</v>
      </c>
      <c r="H140" s="2">
        <v>0</v>
      </c>
      <c r="K140" s="2">
        <v>4</v>
      </c>
      <c r="L140" s="2" t="s">
        <v>967</v>
      </c>
    </row>
    <row r="141" spans="1:14" ht="15" customHeight="1" x14ac:dyDescent="0.25">
      <c r="A141" s="2">
        <v>1160401</v>
      </c>
      <c r="B141" s="2" t="s">
        <v>806</v>
      </c>
      <c r="C141" s="2" t="s">
        <v>224</v>
      </c>
      <c r="D141" s="2" t="s">
        <v>558</v>
      </c>
      <c r="E141" s="2" t="s">
        <v>968</v>
      </c>
      <c r="F141" s="2" t="s">
        <v>398</v>
      </c>
      <c r="H141" s="2">
        <v>0</v>
      </c>
      <c r="K141" s="2">
        <v>4</v>
      </c>
      <c r="L141" s="2" t="s">
        <v>969</v>
      </c>
    </row>
    <row r="142" spans="1:14" ht="15" customHeight="1" x14ac:dyDescent="0.25">
      <c r="A142" s="2">
        <v>1161102</v>
      </c>
      <c r="B142" s="2" t="s">
        <v>806</v>
      </c>
      <c r="C142" s="2" t="s">
        <v>224</v>
      </c>
      <c r="D142" s="2" t="s">
        <v>552</v>
      </c>
      <c r="E142" s="2" t="s">
        <v>146</v>
      </c>
      <c r="F142" s="2" t="s">
        <v>295</v>
      </c>
      <c r="H142" s="2">
        <v>4</v>
      </c>
      <c r="I142" s="2">
        <v>4</v>
      </c>
      <c r="J142" s="2">
        <v>4</v>
      </c>
      <c r="L142" s="2" t="s">
        <v>970</v>
      </c>
      <c r="M142" s="2" t="s">
        <v>971</v>
      </c>
    </row>
    <row r="143" spans="1:14" ht="15" customHeight="1" x14ac:dyDescent="0.25">
      <c r="A143" s="2">
        <v>1161202</v>
      </c>
      <c r="B143" s="2" t="s">
        <v>806</v>
      </c>
      <c r="C143" s="2" t="s">
        <v>224</v>
      </c>
      <c r="D143" s="2" t="s">
        <v>554</v>
      </c>
      <c r="E143" s="2" t="s">
        <v>151</v>
      </c>
      <c r="F143" s="2" t="s">
        <v>299</v>
      </c>
      <c r="H143" s="2">
        <v>4</v>
      </c>
      <c r="K143" s="2">
        <v>4</v>
      </c>
      <c r="L143" s="2" t="s">
        <v>972</v>
      </c>
      <c r="M143" s="2" t="s">
        <v>973</v>
      </c>
      <c r="N143" s="2" t="s">
        <v>974</v>
      </c>
    </row>
    <row r="144" spans="1:14" ht="15" customHeight="1" x14ac:dyDescent="0.25">
      <c r="A144" s="2">
        <v>1161203</v>
      </c>
      <c r="B144" s="2" t="s">
        <v>806</v>
      </c>
      <c r="C144" s="2" t="s">
        <v>224</v>
      </c>
      <c r="D144" s="2" t="s">
        <v>554</v>
      </c>
      <c r="E144" s="2" t="s">
        <v>161</v>
      </c>
      <c r="F144" s="2" t="s">
        <v>295</v>
      </c>
      <c r="H144" s="2">
        <v>5</v>
      </c>
      <c r="I144" s="2">
        <v>2</v>
      </c>
      <c r="J144" s="2">
        <v>4</v>
      </c>
      <c r="L144" s="2" t="s">
        <v>975</v>
      </c>
      <c r="M144" s="2" t="s">
        <v>976</v>
      </c>
    </row>
    <row r="145" spans="1:15" ht="15" customHeight="1" x14ac:dyDescent="0.25">
      <c r="A145" s="2">
        <v>1161301</v>
      </c>
      <c r="B145" s="2" t="s">
        <v>806</v>
      </c>
      <c r="C145" s="2" t="s">
        <v>224</v>
      </c>
      <c r="D145" s="2" t="s">
        <v>556</v>
      </c>
      <c r="E145" s="2" t="s">
        <v>121</v>
      </c>
      <c r="F145" s="2" t="s">
        <v>299</v>
      </c>
      <c r="H145" s="2">
        <v>3</v>
      </c>
      <c r="K145" s="2">
        <v>4</v>
      </c>
      <c r="L145" s="2" t="s">
        <v>977</v>
      </c>
      <c r="M145" s="2" t="s">
        <v>978</v>
      </c>
      <c r="N145" s="2" t="s">
        <v>974</v>
      </c>
    </row>
    <row r="146" spans="1:15" ht="15" customHeight="1" x14ac:dyDescent="0.25">
      <c r="A146" s="2">
        <v>1161302</v>
      </c>
      <c r="B146" s="2" t="s">
        <v>806</v>
      </c>
      <c r="C146" s="2" t="s">
        <v>224</v>
      </c>
      <c r="D146" s="2" t="s">
        <v>556</v>
      </c>
      <c r="E146" s="2" t="s">
        <v>658</v>
      </c>
      <c r="F146" s="2" t="s">
        <v>299</v>
      </c>
      <c r="H146" s="2">
        <v>3</v>
      </c>
      <c r="K146" s="2">
        <v>3</v>
      </c>
      <c r="L146" s="2" t="s">
        <v>1904</v>
      </c>
      <c r="M146" s="2" t="s">
        <v>1919</v>
      </c>
      <c r="N146" s="2" t="s">
        <v>769</v>
      </c>
    </row>
    <row r="147" spans="1:15" ht="15" customHeight="1" x14ac:dyDescent="0.25">
      <c r="A147" s="2">
        <v>1161303</v>
      </c>
      <c r="B147" s="2" t="s">
        <v>806</v>
      </c>
      <c r="C147" s="2" t="s">
        <v>224</v>
      </c>
      <c r="D147" s="2" t="s">
        <v>556</v>
      </c>
      <c r="E147" s="2" t="s">
        <v>136</v>
      </c>
      <c r="F147" s="2" t="s">
        <v>295</v>
      </c>
      <c r="H147" s="2">
        <v>3</v>
      </c>
      <c r="I147" s="2">
        <v>1</v>
      </c>
      <c r="J147" s="2">
        <v>4</v>
      </c>
      <c r="L147" s="2" t="s">
        <v>979</v>
      </c>
      <c r="M147" s="2" t="s">
        <v>257</v>
      </c>
    </row>
    <row r="148" spans="1:15" ht="15" customHeight="1" x14ac:dyDescent="0.25">
      <c r="A148" s="2">
        <v>1161401</v>
      </c>
      <c r="B148" s="2" t="s">
        <v>806</v>
      </c>
      <c r="C148" s="2" t="s">
        <v>224</v>
      </c>
      <c r="D148" s="2" t="s">
        <v>558</v>
      </c>
      <c r="E148" s="2" t="s">
        <v>115</v>
      </c>
      <c r="F148" s="2" t="s">
        <v>295</v>
      </c>
      <c r="H148" s="2">
        <v>2</v>
      </c>
      <c r="I148" s="2">
        <v>0</v>
      </c>
      <c r="J148" s="2">
        <v>4</v>
      </c>
      <c r="L148" s="2" t="s">
        <v>980</v>
      </c>
    </row>
    <row r="149" spans="1:15" ht="15" customHeight="1" x14ac:dyDescent="0.25">
      <c r="A149" s="2">
        <v>1161402</v>
      </c>
      <c r="B149" s="2" t="s">
        <v>806</v>
      </c>
      <c r="C149" s="2" t="s">
        <v>224</v>
      </c>
      <c r="D149" s="2" t="s">
        <v>558</v>
      </c>
      <c r="E149" s="2" t="s">
        <v>141</v>
      </c>
      <c r="F149" s="2" t="s">
        <v>297</v>
      </c>
      <c r="H149" s="2">
        <v>4</v>
      </c>
      <c r="L149" s="2" t="s">
        <v>981</v>
      </c>
      <c r="M149" s="2" t="s">
        <v>982</v>
      </c>
      <c r="N149" s="2" t="s">
        <v>983</v>
      </c>
    </row>
    <row r="150" spans="1:15" ht="15" customHeight="1" x14ac:dyDescent="0.25">
      <c r="A150" s="2">
        <v>1161403</v>
      </c>
      <c r="B150" s="2" t="s">
        <v>806</v>
      </c>
      <c r="C150" s="2" t="s">
        <v>224</v>
      </c>
      <c r="D150" s="2" t="s">
        <v>558</v>
      </c>
      <c r="E150" s="2" t="s">
        <v>659</v>
      </c>
      <c r="F150" s="2" t="s">
        <v>295</v>
      </c>
      <c r="H150" s="2">
        <v>2</v>
      </c>
      <c r="I150" s="2">
        <v>2</v>
      </c>
      <c r="J150" s="2">
        <v>2</v>
      </c>
      <c r="L150" s="2" t="s">
        <v>257</v>
      </c>
      <c r="M150" s="2" t="s">
        <v>984</v>
      </c>
    </row>
    <row r="151" spans="1:15" ht="15" customHeight="1" x14ac:dyDescent="0.25">
      <c r="A151" s="2">
        <v>1170101</v>
      </c>
      <c r="B151" s="2" t="s">
        <v>806</v>
      </c>
      <c r="C151" s="2" t="s">
        <v>193</v>
      </c>
      <c r="D151" s="2" t="s">
        <v>552</v>
      </c>
      <c r="E151" s="2" t="s">
        <v>985</v>
      </c>
      <c r="F151" s="2" t="s">
        <v>297</v>
      </c>
      <c r="H151" s="2">
        <v>1</v>
      </c>
      <c r="L151" s="2" t="s">
        <v>986</v>
      </c>
      <c r="M151" s="2" t="s">
        <v>884</v>
      </c>
    </row>
    <row r="152" spans="1:15" ht="15" customHeight="1" x14ac:dyDescent="0.25">
      <c r="A152" s="2">
        <v>1170102</v>
      </c>
      <c r="B152" s="2" t="s">
        <v>806</v>
      </c>
      <c r="C152" s="2" t="s">
        <v>193</v>
      </c>
      <c r="D152" s="2" t="s">
        <v>552</v>
      </c>
      <c r="E152" s="2" t="s">
        <v>7</v>
      </c>
      <c r="F152" s="2" t="s">
        <v>299</v>
      </c>
      <c r="H152" s="2">
        <v>3</v>
      </c>
      <c r="K152" s="2">
        <v>1</v>
      </c>
      <c r="L152" s="2" t="s">
        <v>987</v>
      </c>
      <c r="M152" s="2" t="s">
        <v>988</v>
      </c>
    </row>
    <row r="153" spans="1:15" ht="15" customHeight="1" x14ac:dyDescent="0.25">
      <c r="A153" s="2">
        <v>1170104</v>
      </c>
      <c r="B153" s="2" t="s">
        <v>806</v>
      </c>
      <c r="C153" s="2" t="s">
        <v>193</v>
      </c>
      <c r="D153" s="2" t="s">
        <v>552</v>
      </c>
      <c r="E153" s="2" t="s">
        <v>989</v>
      </c>
      <c r="F153" s="2" t="s">
        <v>299</v>
      </c>
      <c r="H153" s="2">
        <v>3</v>
      </c>
      <c r="K153" s="2">
        <v>1</v>
      </c>
      <c r="L153" s="2" t="s">
        <v>990</v>
      </c>
      <c r="M153" s="2" t="s">
        <v>991</v>
      </c>
    </row>
    <row r="154" spans="1:15" ht="15" customHeight="1" x14ac:dyDescent="0.25">
      <c r="A154" s="2">
        <v>1171101</v>
      </c>
      <c r="B154" s="2" t="s">
        <v>806</v>
      </c>
      <c r="C154" s="2" t="s">
        <v>193</v>
      </c>
      <c r="D154" s="2" t="s">
        <v>552</v>
      </c>
      <c r="E154" s="2" t="s">
        <v>6</v>
      </c>
      <c r="F154" s="2" t="s">
        <v>295</v>
      </c>
      <c r="H154" s="2">
        <v>3</v>
      </c>
      <c r="I154" s="2">
        <v>2</v>
      </c>
      <c r="J154" s="2">
        <v>4</v>
      </c>
      <c r="L154" s="2" t="s">
        <v>257</v>
      </c>
      <c r="M154" s="2" t="s">
        <v>492</v>
      </c>
      <c r="N154" s="2" t="s">
        <v>992</v>
      </c>
      <c r="O154" s="2" t="s">
        <v>993</v>
      </c>
    </row>
    <row r="155" spans="1:15" ht="15" customHeight="1" x14ac:dyDescent="0.25">
      <c r="A155" s="2">
        <v>1171102</v>
      </c>
      <c r="B155" s="2" t="s">
        <v>806</v>
      </c>
      <c r="C155" s="2" t="s">
        <v>193</v>
      </c>
      <c r="D155" s="2" t="s">
        <v>552</v>
      </c>
      <c r="E155" s="2" t="s">
        <v>149</v>
      </c>
      <c r="F155" s="2" t="s">
        <v>295</v>
      </c>
      <c r="H155" s="2">
        <v>4</v>
      </c>
      <c r="I155" s="2">
        <v>2</v>
      </c>
      <c r="J155" s="2">
        <v>4</v>
      </c>
      <c r="L155" s="2" t="s">
        <v>994</v>
      </c>
      <c r="M155" s="2" t="s">
        <v>492</v>
      </c>
      <c r="N155" s="2" t="s">
        <v>995</v>
      </c>
    </row>
    <row r="156" spans="1:15" ht="15" customHeight="1" x14ac:dyDescent="0.25">
      <c r="A156" s="2">
        <v>1171201</v>
      </c>
      <c r="B156" s="2" t="s">
        <v>806</v>
      </c>
      <c r="C156" s="2" t="s">
        <v>193</v>
      </c>
      <c r="D156" s="2" t="s">
        <v>554</v>
      </c>
      <c r="E156" s="2" t="s">
        <v>159</v>
      </c>
      <c r="F156" s="2" t="s">
        <v>295</v>
      </c>
      <c r="H156" s="2">
        <v>6</v>
      </c>
      <c r="I156" s="2">
        <v>3</v>
      </c>
      <c r="J156" s="2">
        <v>3</v>
      </c>
      <c r="L156" s="2" t="s">
        <v>996</v>
      </c>
      <c r="M156" s="2" t="s">
        <v>997</v>
      </c>
    </row>
    <row r="157" spans="1:15" ht="15" customHeight="1" x14ac:dyDescent="0.25">
      <c r="A157" s="2">
        <v>1171203</v>
      </c>
      <c r="B157" s="2" t="s">
        <v>806</v>
      </c>
      <c r="C157" s="2" t="s">
        <v>193</v>
      </c>
      <c r="D157" s="2" t="s">
        <v>554</v>
      </c>
      <c r="E157" s="2" t="s">
        <v>124</v>
      </c>
      <c r="F157" s="2" t="s">
        <v>297</v>
      </c>
      <c r="H157" s="2">
        <v>2</v>
      </c>
      <c r="L157" s="2" t="s">
        <v>986</v>
      </c>
      <c r="M157" s="2" t="s">
        <v>998</v>
      </c>
    </row>
    <row r="158" spans="1:15" ht="15" customHeight="1" x14ac:dyDescent="0.25">
      <c r="A158" s="2">
        <v>1171301</v>
      </c>
      <c r="B158" s="2" t="s">
        <v>806</v>
      </c>
      <c r="C158" s="2" t="s">
        <v>193</v>
      </c>
      <c r="D158" s="2" t="s">
        <v>556</v>
      </c>
      <c r="E158" s="2" t="s">
        <v>109</v>
      </c>
      <c r="F158" s="2" t="s">
        <v>295</v>
      </c>
      <c r="H158" s="2">
        <v>2</v>
      </c>
      <c r="I158" s="2">
        <v>2</v>
      </c>
      <c r="J158" s="2">
        <v>2</v>
      </c>
      <c r="L158" s="2" t="s">
        <v>999</v>
      </c>
      <c r="M158" s="2" t="s">
        <v>692</v>
      </c>
    </row>
    <row r="159" spans="1:15" ht="15" customHeight="1" x14ac:dyDescent="0.25">
      <c r="A159" s="2">
        <v>1171302</v>
      </c>
      <c r="B159" s="2" t="s">
        <v>806</v>
      </c>
      <c r="C159" s="2" t="s">
        <v>193</v>
      </c>
      <c r="D159" s="2" t="s">
        <v>556</v>
      </c>
      <c r="E159" s="2" t="s">
        <v>660</v>
      </c>
      <c r="F159" s="2" t="s">
        <v>295</v>
      </c>
      <c r="H159" s="2">
        <v>5</v>
      </c>
      <c r="I159" s="2">
        <v>3</v>
      </c>
      <c r="J159" s="2">
        <v>4</v>
      </c>
      <c r="L159" s="2" t="s">
        <v>840</v>
      </c>
      <c r="M159" s="2" t="s">
        <v>1000</v>
      </c>
    </row>
    <row r="160" spans="1:15" ht="15" customHeight="1" x14ac:dyDescent="0.25">
      <c r="A160" s="2">
        <v>1171303</v>
      </c>
      <c r="B160" s="2" t="s">
        <v>806</v>
      </c>
      <c r="C160" s="2" t="s">
        <v>193</v>
      </c>
      <c r="D160" s="2" t="s">
        <v>556</v>
      </c>
      <c r="E160" s="2" t="s">
        <v>113</v>
      </c>
      <c r="F160" s="2" t="s">
        <v>299</v>
      </c>
      <c r="H160" s="2">
        <v>2</v>
      </c>
      <c r="L160" s="2" t="s">
        <v>1001</v>
      </c>
      <c r="M160" s="2" t="s">
        <v>729</v>
      </c>
    </row>
    <row r="161" spans="1:15" ht="15" customHeight="1" x14ac:dyDescent="0.25">
      <c r="A161" s="2">
        <v>1171401</v>
      </c>
      <c r="B161" s="2" t="s">
        <v>806</v>
      </c>
      <c r="C161" s="2" t="s">
        <v>193</v>
      </c>
      <c r="D161" s="2" t="s">
        <v>558</v>
      </c>
      <c r="E161" s="2" t="s">
        <v>661</v>
      </c>
      <c r="F161" s="2" t="s">
        <v>297</v>
      </c>
      <c r="H161" s="2">
        <v>4</v>
      </c>
      <c r="L161" s="2" t="s">
        <v>802</v>
      </c>
      <c r="M161" s="2" t="s">
        <v>1002</v>
      </c>
    </row>
    <row r="162" spans="1:15" ht="15" customHeight="1" x14ac:dyDescent="0.25">
      <c r="A162" s="2">
        <v>1171402</v>
      </c>
      <c r="B162" s="2" t="s">
        <v>806</v>
      </c>
      <c r="C162" s="2" t="s">
        <v>193</v>
      </c>
      <c r="D162" s="2" t="s">
        <v>558</v>
      </c>
      <c r="E162" s="2" t="s">
        <v>155</v>
      </c>
      <c r="F162" s="2" t="s">
        <v>295</v>
      </c>
      <c r="H162" s="2">
        <v>4</v>
      </c>
      <c r="I162" s="2">
        <v>4</v>
      </c>
      <c r="J162" s="2">
        <v>4</v>
      </c>
      <c r="L162" s="2" t="s">
        <v>1003</v>
      </c>
      <c r="M162" s="2" t="s">
        <v>997</v>
      </c>
      <c r="N162" s="2" t="s">
        <v>257</v>
      </c>
    </row>
    <row r="163" spans="1:15" ht="15" customHeight="1" x14ac:dyDescent="0.25">
      <c r="A163" s="2">
        <v>1171403</v>
      </c>
      <c r="B163" s="2" t="s">
        <v>806</v>
      </c>
      <c r="C163" s="2" t="s">
        <v>193</v>
      </c>
      <c r="D163" s="2" t="s">
        <v>558</v>
      </c>
      <c r="E163" s="2" t="s">
        <v>662</v>
      </c>
      <c r="F163" s="2" t="s">
        <v>295</v>
      </c>
      <c r="H163" s="2">
        <v>7</v>
      </c>
      <c r="I163" s="2">
        <v>3</v>
      </c>
      <c r="J163" s="2">
        <v>3</v>
      </c>
      <c r="L163" s="2" t="s">
        <v>1004</v>
      </c>
      <c r="M163" s="2" t="s">
        <v>1005</v>
      </c>
    </row>
    <row r="164" spans="1:15" ht="15" customHeight="1" x14ac:dyDescent="0.25">
      <c r="A164" s="2">
        <v>1200101</v>
      </c>
      <c r="B164" s="2" t="s">
        <v>1006</v>
      </c>
      <c r="C164" s="2" t="s">
        <v>225</v>
      </c>
      <c r="D164" s="2" t="s">
        <v>552</v>
      </c>
      <c r="E164" s="2" t="s">
        <v>608</v>
      </c>
      <c r="F164" s="2" t="s">
        <v>295</v>
      </c>
      <c r="H164" s="2">
        <v>6</v>
      </c>
      <c r="I164" s="2">
        <v>10</v>
      </c>
      <c r="J164" s="2">
        <v>10</v>
      </c>
      <c r="L164" s="2" t="s">
        <v>251</v>
      </c>
    </row>
    <row r="165" spans="1:15" ht="15" customHeight="1" x14ac:dyDescent="0.25">
      <c r="A165" s="2">
        <v>1200102</v>
      </c>
      <c r="B165" s="2" t="s">
        <v>1006</v>
      </c>
      <c r="C165" s="2" t="s">
        <v>225</v>
      </c>
      <c r="D165" s="2" t="s">
        <v>552</v>
      </c>
      <c r="E165" s="2" t="s">
        <v>609</v>
      </c>
      <c r="F165" s="2" t="s">
        <v>295</v>
      </c>
      <c r="H165" s="2">
        <v>1</v>
      </c>
      <c r="I165" s="2">
        <v>13</v>
      </c>
      <c r="J165" s="2">
        <v>13</v>
      </c>
    </row>
    <row r="166" spans="1:15" ht="15" customHeight="1" x14ac:dyDescent="0.25">
      <c r="A166" s="2">
        <v>1200103</v>
      </c>
      <c r="B166" s="2" t="s">
        <v>1006</v>
      </c>
      <c r="C166" s="2" t="s">
        <v>225</v>
      </c>
      <c r="D166" s="2" t="s">
        <v>552</v>
      </c>
      <c r="E166" s="2" t="s">
        <v>613</v>
      </c>
      <c r="F166" s="2" t="s">
        <v>295</v>
      </c>
      <c r="H166" s="2">
        <v>5</v>
      </c>
      <c r="I166" s="2">
        <v>9</v>
      </c>
      <c r="J166" s="2">
        <v>6</v>
      </c>
      <c r="L166" s="2" t="s">
        <v>1007</v>
      </c>
      <c r="M166" s="2" t="s">
        <v>1008</v>
      </c>
    </row>
    <row r="167" spans="1:15" ht="15" customHeight="1" x14ac:dyDescent="0.25">
      <c r="A167" s="2">
        <v>1200105</v>
      </c>
      <c r="B167" s="2" t="s">
        <v>1006</v>
      </c>
      <c r="C167" s="2" t="s">
        <v>225</v>
      </c>
      <c r="D167" s="2" t="s">
        <v>552</v>
      </c>
      <c r="E167" s="2" t="s">
        <v>617</v>
      </c>
      <c r="F167" s="2" t="s">
        <v>297</v>
      </c>
      <c r="H167" s="2">
        <v>10</v>
      </c>
      <c r="L167" s="2" t="s">
        <v>1009</v>
      </c>
    </row>
    <row r="168" spans="1:15" ht="15" customHeight="1" x14ac:dyDescent="0.25">
      <c r="A168" s="2">
        <v>1200401</v>
      </c>
      <c r="B168" s="2" t="s">
        <v>1006</v>
      </c>
      <c r="C168" s="2" t="s">
        <v>225</v>
      </c>
      <c r="D168" s="2" t="s">
        <v>558</v>
      </c>
      <c r="E168" s="2" t="s">
        <v>1010</v>
      </c>
      <c r="F168" s="2" t="s">
        <v>295</v>
      </c>
      <c r="H168" s="2">
        <v>1</v>
      </c>
      <c r="I168" s="2">
        <v>1</v>
      </c>
      <c r="J168" s="2">
        <v>2</v>
      </c>
    </row>
    <row r="169" spans="1:15" ht="15" customHeight="1" x14ac:dyDescent="0.25">
      <c r="A169" s="2">
        <v>1201101</v>
      </c>
      <c r="B169" s="2" t="s">
        <v>1006</v>
      </c>
      <c r="C169" s="2" t="s">
        <v>225</v>
      </c>
      <c r="D169" s="2" t="s">
        <v>552</v>
      </c>
      <c r="E169" s="2" t="s">
        <v>163</v>
      </c>
      <c r="F169" s="2" t="s">
        <v>295</v>
      </c>
      <c r="H169" s="2">
        <v>7</v>
      </c>
      <c r="I169" s="2">
        <v>4</v>
      </c>
      <c r="J169" s="2">
        <v>4</v>
      </c>
      <c r="L169" s="2" t="s">
        <v>841</v>
      </c>
      <c r="M169" s="2" t="s">
        <v>1011</v>
      </c>
      <c r="N169" s="2" t="s">
        <v>1012</v>
      </c>
      <c r="O169" s="2" t="s">
        <v>1013</v>
      </c>
    </row>
    <row r="170" spans="1:15" ht="15" customHeight="1" x14ac:dyDescent="0.25">
      <c r="A170" s="2">
        <v>1201102</v>
      </c>
      <c r="B170" s="2" t="s">
        <v>1006</v>
      </c>
      <c r="C170" s="2" t="s">
        <v>225</v>
      </c>
      <c r="D170" s="2" t="s">
        <v>552</v>
      </c>
      <c r="E170" s="2" t="s">
        <v>179</v>
      </c>
      <c r="F170" s="2" t="s">
        <v>295</v>
      </c>
      <c r="H170" s="2">
        <v>10</v>
      </c>
      <c r="I170" s="2">
        <v>10</v>
      </c>
      <c r="J170" s="2">
        <v>10</v>
      </c>
      <c r="L170" s="2" t="s">
        <v>1014</v>
      </c>
    </row>
    <row r="171" spans="1:15" ht="15" customHeight="1" x14ac:dyDescent="0.25">
      <c r="A171" s="2">
        <v>1201201</v>
      </c>
      <c r="B171" s="2" t="s">
        <v>1006</v>
      </c>
      <c r="C171" s="2" t="s">
        <v>225</v>
      </c>
      <c r="D171" s="2" t="s">
        <v>554</v>
      </c>
      <c r="E171" s="2" t="s">
        <v>133</v>
      </c>
      <c r="F171" s="2" t="s">
        <v>295</v>
      </c>
      <c r="H171" s="2">
        <v>2</v>
      </c>
      <c r="I171" s="2">
        <v>2</v>
      </c>
      <c r="J171" s="2">
        <v>2</v>
      </c>
      <c r="L171" s="2" t="s">
        <v>1015</v>
      </c>
    </row>
    <row r="172" spans="1:15" ht="15" customHeight="1" x14ac:dyDescent="0.25">
      <c r="A172" s="2">
        <v>1201202</v>
      </c>
      <c r="B172" s="2" t="s">
        <v>1006</v>
      </c>
      <c r="C172" s="2" t="s">
        <v>225</v>
      </c>
      <c r="D172" s="2" t="s">
        <v>554</v>
      </c>
      <c r="E172" s="2" t="s">
        <v>1016</v>
      </c>
      <c r="F172" s="2" t="s">
        <v>297</v>
      </c>
      <c r="H172" s="2">
        <v>4</v>
      </c>
      <c r="L172" s="2" t="s">
        <v>1017</v>
      </c>
      <c r="M172" s="2" t="s">
        <v>1018</v>
      </c>
    </row>
    <row r="173" spans="1:15" ht="15" customHeight="1" x14ac:dyDescent="0.25">
      <c r="A173" s="2">
        <v>1201301</v>
      </c>
      <c r="B173" s="2" t="s">
        <v>1006</v>
      </c>
      <c r="C173" s="2" t="s">
        <v>225</v>
      </c>
      <c r="D173" s="2" t="s">
        <v>556</v>
      </c>
      <c r="E173" s="2" t="s">
        <v>1019</v>
      </c>
      <c r="F173" s="2" t="s">
        <v>295</v>
      </c>
      <c r="H173" s="2">
        <v>3</v>
      </c>
      <c r="I173" s="2">
        <v>1</v>
      </c>
      <c r="J173" s="2">
        <v>2</v>
      </c>
      <c r="L173" s="2" t="s">
        <v>1020</v>
      </c>
      <c r="M173" s="2" t="s">
        <v>692</v>
      </c>
    </row>
    <row r="174" spans="1:15" ht="15" customHeight="1" x14ac:dyDescent="0.25">
      <c r="A174" s="2">
        <v>1201302</v>
      </c>
      <c r="B174" s="2" t="s">
        <v>1006</v>
      </c>
      <c r="C174" s="2" t="s">
        <v>225</v>
      </c>
      <c r="D174" s="2" t="s">
        <v>556</v>
      </c>
      <c r="E174" s="2" t="s">
        <v>1021</v>
      </c>
      <c r="F174" s="2" t="s">
        <v>297</v>
      </c>
      <c r="H174" s="2">
        <v>3</v>
      </c>
      <c r="L174" s="2" t="s">
        <v>760</v>
      </c>
    </row>
    <row r="175" spans="1:15" ht="15" customHeight="1" x14ac:dyDescent="0.25">
      <c r="A175" s="2">
        <v>1201401</v>
      </c>
      <c r="B175" s="2" t="s">
        <v>1006</v>
      </c>
      <c r="C175" s="2" t="s">
        <v>225</v>
      </c>
      <c r="D175" s="2" t="s">
        <v>558</v>
      </c>
      <c r="E175" s="2" t="s">
        <v>1022</v>
      </c>
      <c r="F175" s="2" t="s">
        <v>295</v>
      </c>
      <c r="H175" s="2">
        <v>2</v>
      </c>
      <c r="I175" s="2">
        <v>2</v>
      </c>
      <c r="J175" s="2">
        <v>2</v>
      </c>
      <c r="L175" s="2" t="s">
        <v>1023</v>
      </c>
      <c r="M175" s="2" t="s">
        <v>892</v>
      </c>
    </row>
    <row r="176" spans="1:15" ht="15" customHeight="1" x14ac:dyDescent="0.25">
      <c r="A176" s="2">
        <v>1201402</v>
      </c>
      <c r="B176" s="2" t="s">
        <v>1006</v>
      </c>
      <c r="C176" s="2" t="s">
        <v>225</v>
      </c>
      <c r="D176" s="2" t="s">
        <v>558</v>
      </c>
      <c r="E176" s="2" t="s">
        <v>1024</v>
      </c>
      <c r="F176" s="2" t="s">
        <v>295</v>
      </c>
      <c r="H176" s="2">
        <v>3</v>
      </c>
      <c r="I176" s="2">
        <v>3</v>
      </c>
      <c r="J176" s="2">
        <v>3</v>
      </c>
      <c r="L176" s="2" t="s">
        <v>1025</v>
      </c>
    </row>
    <row r="177" spans="1:15" ht="15" customHeight="1" x14ac:dyDescent="0.25">
      <c r="A177" s="2">
        <v>1201403</v>
      </c>
      <c r="B177" s="2" t="s">
        <v>1006</v>
      </c>
      <c r="C177" s="2" t="s">
        <v>225</v>
      </c>
      <c r="D177" s="2" t="s">
        <v>558</v>
      </c>
      <c r="E177" s="2" t="s">
        <v>1026</v>
      </c>
      <c r="F177" s="2" t="s">
        <v>297</v>
      </c>
      <c r="H177" s="2">
        <v>5</v>
      </c>
      <c r="L177" s="2" t="s">
        <v>1027</v>
      </c>
    </row>
    <row r="178" spans="1:15" ht="15" customHeight="1" x14ac:dyDescent="0.25">
      <c r="A178" s="2">
        <v>1210101</v>
      </c>
      <c r="B178" s="2" t="s">
        <v>1006</v>
      </c>
      <c r="C178" s="2" t="s">
        <v>216</v>
      </c>
      <c r="D178" s="2" t="s">
        <v>552</v>
      </c>
      <c r="E178" s="2" t="s">
        <v>1028</v>
      </c>
      <c r="F178" s="2" t="s">
        <v>398</v>
      </c>
      <c r="H178" s="2">
        <v>0</v>
      </c>
      <c r="L178" s="2" t="s">
        <v>1029</v>
      </c>
    </row>
    <row r="179" spans="1:15" ht="15" customHeight="1" x14ac:dyDescent="0.25">
      <c r="A179" s="2">
        <v>1210102</v>
      </c>
      <c r="B179" s="2" t="s">
        <v>1006</v>
      </c>
      <c r="C179" s="2" t="s">
        <v>216</v>
      </c>
      <c r="D179" s="2" t="s">
        <v>552</v>
      </c>
      <c r="E179" s="2" t="s">
        <v>1030</v>
      </c>
      <c r="F179" s="2" t="s">
        <v>297</v>
      </c>
      <c r="H179" s="2">
        <v>1</v>
      </c>
      <c r="L179" s="2" t="s">
        <v>1031</v>
      </c>
    </row>
    <row r="180" spans="1:15" ht="15" customHeight="1" x14ac:dyDescent="0.25">
      <c r="A180" s="2">
        <v>1210402</v>
      </c>
      <c r="B180" s="2" t="s">
        <v>1006</v>
      </c>
      <c r="C180" s="2" t="s">
        <v>216</v>
      </c>
      <c r="D180" s="2" t="s">
        <v>558</v>
      </c>
      <c r="E180" s="2" t="s">
        <v>1032</v>
      </c>
      <c r="F180" s="2" t="s">
        <v>297</v>
      </c>
      <c r="H180" s="2">
        <v>0</v>
      </c>
      <c r="L180" s="2" t="s">
        <v>1033</v>
      </c>
    </row>
    <row r="181" spans="1:15" ht="15" customHeight="1" x14ac:dyDescent="0.25">
      <c r="A181" s="2">
        <v>1211101</v>
      </c>
      <c r="B181" s="2" t="s">
        <v>1006</v>
      </c>
      <c r="C181" s="2" t="s">
        <v>216</v>
      </c>
      <c r="D181" s="2" t="s">
        <v>552</v>
      </c>
      <c r="E181" s="2" t="s">
        <v>1034</v>
      </c>
      <c r="F181" s="2" t="s">
        <v>295</v>
      </c>
      <c r="H181" s="2">
        <v>9</v>
      </c>
      <c r="I181" s="2">
        <v>6</v>
      </c>
      <c r="J181" s="2">
        <v>6</v>
      </c>
      <c r="L181" s="2" t="s">
        <v>1035</v>
      </c>
      <c r="M181" s="2" t="s">
        <v>257</v>
      </c>
    </row>
    <row r="182" spans="1:15" ht="15" customHeight="1" x14ac:dyDescent="0.25">
      <c r="A182" s="2">
        <v>1211102</v>
      </c>
      <c r="B182" s="2" t="s">
        <v>1006</v>
      </c>
      <c r="C182" s="2" t="s">
        <v>216</v>
      </c>
      <c r="D182" s="2" t="s">
        <v>552</v>
      </c>
      <c r="E182" s="2" t="s">
        <v>1036</v>
      </c>
      <c r="F182" s="2" t="s">
        <v>295</v>
      </c>
      <c r="H182" s="2">
        <v>3</v>
      </c>
      <c r="I182" s="2">
        <v>2</v>
      </c>
      <c r="J182" s="2">
        <v>2</v>
      </c>
      <c r="L182" s="2" t="s">
        <v>1037</v>
      </c>
      <c r="M182" s="2" t="s">
        <v>257</v>
      </c>
      <c r="N182" s="2" t="s">
        <v>1038</v>
      </c>
    </row>
    <row r="183" spans="1:15" ht="15" customHeight="1" x14ac:dyDescent="0.25">
      <c r="A183" s="2">
        <v>1211103</v>
      </c>
      <c r="B183" s="2" t="s">
        <v>1006</v>
      </c>
      <c r="C183" s="2" t="s">
        <v>216</v>
      </c>
      <c r="D183" s="2" t="s">
        <v>552</v>
      </c>
      <c r="E183" s="2" t="s">
        <v>1039</v>
      </c>
      <c r="F183" s="2" t="s">
        <v>295</v>
      </c>
      <c r="H183" s="2">
        <v>6</v>
      </c>
      <c r="I183" s="2">
        <v>4</v>
      </c>
      <c r="J183" s="2">
        <v>4</v>
      </c>
      <c r="L183" s="2" t="s">
        <v>1040</v>
      </c>
      <c r="M183" s="2" t="s">
        <v>1041</v>
      </c>
    </row>
    <row r="184" spans="1:15" ht="15" customHeight="1" x14ac:dyDescent="0.25">
      <c r="A184" s="2">
        <v>1211201</v>
      </c>
      <c r="B184" s="2" t="s">
        <v>1006</v>
      </c>
      <c r="C184" s="2" t="s">
        <v>216</v>
      </c>
      <c r="D184" s="2" t="s">
        <v>554</v>
      </c>
      <c r="E184" s="2" t="s">
        <v>1042</v>
      </c>
      <c r="F184" s="2" t="s">
        <v>295</v>
      </c>
      <c r="H184" s="2">
        <v>3</v>
      </c>
      <c r="I184" s="2">
        <v>0</v>
      </c>
      <c r="J184" s="2">
        <v>2</v>
      </c>
      <c r="L184" s="2" t="s">
        <v>1043</v>
      </c>
      <c r="M184" s="2" t="s">
        <v>251</v>
      </c>
    </row>
    <row r="185" spans="1:15" ht="15" customHeight="1" x14ac:dyDescent="0.25">
      <c r="A185" s="2">
        <v>1211202</v>
      </c>
      <c r="B185" s="2" t="s">
        <v>1006</v>
      </c>
      <c r="C185" s="2" t="s">
        <v>216</v>
      </c>
      <c r="D185" s="2" t="s">
        <v>554</v>
      </c>
      <c r="E185" s="2" t="s">
        <v>1044</v>
      </c>
      <c r="F185" s="2" t="s">
        <v>295</v>
      </c>
      <c r="H185" s="2">
        <v>2</v>
      </c>
      <c r="I185" s="2">
        <v>1</v>
      </c>
      <c r="J185" s="2">
        <v>3</v>
      </c>
      <c r="L185" s="2" t="s">
        <v>1045</v>
      </c>
      <c r="M185" s="2" t="s">
        <v>1046</v>
      </c>
      <c r="N185" s="2" t="s">
        <v>1047</v>
      </c>
    </row>
    <row r="186" spans="1:15" ht="15" customHeight="1" x14ac:dyDescent="0.25">
      <c r="A186" s="2">
        <v>1211203</v>
      </c>
      <c r="B186" s="2" t="s">
        <v>1006</v>
      </c>
      <c r="C186" s="2" t="s">
        <v>216</v>
      </c>
      <c r="D186" s="2" t="s">
        <v>554</v>
      </c>
      <c r="E186" s="2" t="s">
        <v>1048</v>
      </c>
      <c r="F186" s="2" t="s">
        <v>299</v>
      </c>
      <c r="H186" s="2">
        <v>3</v>
      </c>
      <c r="L186" s="2" t="s">
        <v>1049</v>
      </c>
      <c r="M186" s="2" t="s">
        <v>693</v>
      </c>
      <c r="N186" s="2" t="s">
        <v>1050</v>
      </c>
    </row>
    <row r="187" spans="1:15" ht="15" customHeight="1" x14ac:dyDescent="0.25">
      <c r="A187" s="2">
        <v>1211204</v>
      </c>
      <c r="B187" s="2" t="s">
        <v>1006</v>
      </c>
      <c r="C187" s="2" t="s">
        <v>216</v>
      </c>
      <c r="D187" s="2" t="s">
        <v>554</v>
      </c>
      <c r="E187" s="2" t="s">
        <v>1051</v>
      </c>
      <c r="F187" s="2" t="s">
        <v>295</v>
      </c>
      <c r="H187" s="2">
        <v>5</v>
      </c>
      <c r="I187" s="2">
        <v>3</v>
      </c>
      <c r="J187" s="2">
        <v>3</v>
      </c>
      <c r="L187" s="2" t="s">
        <v>841</v>
      </c>
      <c r="M187" s="2" t="s">
        <v>1052</v>
      </c>
    </row>
    <row r="188" spans="1:15" ht="15" customHeight="1" x14ac:dyDescent="0.25">
      <c r="A188" s="2">
        <v>1211205</v>
      </c>
      <c r="B188" s="2" t="s">
        <v>1006</v>
      </c>
      <c r="C188" s="2" t="s">
        <v>216</v>
      </c>
      <c r="D188" s="2" t="s">
        <v>554</v>
      </c>
      <c r="E188" s="2" t="s">
        <v>1053</v>
      </c>
      <c r="F188" s="2" t="s">
        <v>295</v>
      </c>
      <c r="H188" s="2">
        <v>8</v>
      </c>
      <c r="I188" s="2">
        <v>4</v>
      </c>
      <c r="J188" s="2">
        <v>4</v>
      </c>
      <c r="L188" s="2" t="s">
        <v>1054</v>
      </c>
      <c r="M188" s="2" t="s">
        <v>1055</v>
      </c>
    </row>
    <row r="189" spans="1:15" ht="15" customHeight="1" x14ac:dyDescent="0.25">
      <c r="A189" s="2">
        <v>1211301</v>
      </c>
      <c r="B189" s="2" t="s">
        <v>1006</v>
      </c>
      <c r="C189" s="2" t="s">
        <v>216</v>
      </c>
      <c r="D189" s="2" t="s">
        <v>556</v>
      </c>
      <c r="E189" s="2" t="s">
        <v>1056</v>
      </c>
      <c r="F189" s="2" t="s">
        <v>295</v>
      </c>
      <c r="H189" s="2">
        <v>1</v>
      </c>
      <c r="I189" s="2">
        <v>1</v>
      </c>
      <c r="J189" s="2">
        <v>1</v>
      </c>
      <c r="L189" s="2" t="s">
        <v>846</v>
      </c>
    </row>
    <row r="190" spans="1:15" ht="15" customHeight="1" x14ac:dyDescent="0.25">
      <c r="A190" s="2">
        <v>1211302</v>
      </c>
      <c r="B190" s="2" t="s">
        <v>1006</v>
      </c>
      <c r="C190" s="2" t="s">
        <v>216</v>
      </c>
      <c r="D190" s="2" t="s">
        <v>556</v>
      </c>
      <c r="E190" s="2" t="s">
        <v>1057</v>
      </c>
      <c r="F190" s="2" t="s">
        <v>295</v>
      </c>
      <c r="H190" s="2">
        <v>2</v>
      </c>
      <c r="I190" s="2">
        <v>2</v>
      </c>
      <c r="J190" s="2">
        <v>2</v>
      </c>
      <c r="L190" s="2" t="s">
        <v>1058</v>
      </c>
      <c r="M190" s="2" t="s">
        <v>1059</v>
      </c>
    </row>
    <row r="191" spans="1:15" ht="15" customHeight="1" x14ac:dyDescent="0.25">
      <c r="A191" s="2">
        <v>1211303</v>
      </c>
      <c r="B191" s="2" t="s">
        <v>1006</v>
      </c>
      <c r="C191" s="2" t="s">
        <v>216</v>
      </c>
      <c r="D191" s="2" t="s">
        <v>556</v>
      </c>
      <c r="E191" s="2" t="s">
        <v>1060</v>
      </c>
      <c r="F191" s="2" t="s">
        <v>299</v>
      </c>
      <c r="H191" s="2">
        <v>2</v>
      </c>
      <c r="L191" s="2" t="s">
        <v>711</v>
      </c>
      <c r="M191" s="2" t="s">
        <v>1061</v>
      </c>
      <c r="N191" s="2" t="s">
        <v>693</v>
      </c>
      <c r="O191" s="2" t="s">
        <v>1062</v>
      </c>
    </row>
    <row r="192" spans="1:15" ht="15" customHeight="1" x14ac:dyDescent="0.25">
      <c r="A192" s="2">
        <v>1211304</v>
      </c>
      <c r="B192" s="2" t="s">
        <v>1006</v>
      </c>
      <c r="C192" s="2" t="s">
        <v>216</v>
      </c>
      <c r="D192" s="2" t="s">
        <v>556</v>
      </c>
      <c r="E192" s="2" t="s">
        <v>1063</v>
      </c>
      <c r="F192" s="2" t="s">
        <v>295</v>
      </c>
      <c r="H192" s="2">
        <v>7</v>
      </c>
      <c r="I192" s="2">
        <v>6</v>
      </c>
      <c r="J192" s="2">
        <v>8</v>
      </c>
      <c r="L192" s="2" t="s">
        <v>975</v>
      </c>
      <c r="M192" s="2" t="s">
        <v>1011</v>
      </c>
      <c r="N192" s="2" t="s">
        <v>257</v>
      </c>
    </row>
    <row r="193" spans="1:15" ht="15" customHeight="1" x14ac:dyDescent="0.25">
      <c r="A193" s="2">
        <v>1211305</v>
      </c>
      <c r="B193" s="2" t="s">
        <v>1006</v>
      </c>
      <c r="C193" s="2" t="s">
        <v>216</v>
      </c>
      <c r="D193" s="2" t="s">
        <v>556</v>
      </c>
      <c r="E193" s="2" t="s">
        <v>1064</v>
      </c>
      <c r="F193" s="2" t="s">
        <v>297</v>
      </c>
      <c r="H193" s="2">
        <v>3</v>
      </c>
      <c r="L193" s="2" t="s">
        <v>1065</v>
      </c>
      <c r="M193" s="2" t="s">
        <v>1066</v>
      </c>
    </row>
    <row r="194" spans="1:15" ht="15" customHeight="1" x14ac:dyDescent="0.25">
      <c r="A194" s="2">
        <v>1211402</v>
      </c>
      <c r="B194" s="2" t="s">
        <v>1006</v>
      </c>
      <c r="C194" s="2" t="s">
        <v>216</v>
      </c>
      <c r="D194" s="2" t="s">
        <v>558</v>
      </c>
      <c r="E194" s="2" t="s">
        <v>1067</v>
      </c>
      <c r="F194" s="2" t="s">
        <v>295</v>
      </c>
      <c r="H194" s="2">
        <v>2</v>
      </c>
      <c r="I194" s="2">
        <v>2</v>
      </c>
      <c r="J194" s="2">
        <v>1</v>
      </c>
      <c r="L194" s="2" t="s">
        <v>1068</v>
      </c>
    </row>
    <row r="195" spans="1:15" ht="15" customHeight="1" x14ac:dyDescent="0.25">
      <c r="A195" s="2">
        <v>1211403</v>
      </c>
      <c r="B195" s="2" t="s">
        <v>1006</v>
      </c>
      <c r="C195" s="2" t="s">
        <v>216</v>
      </c>
      <c r="D195" s="2" t="s">
        <v>558</v>
      </c>
      <c r="E195" s="2" t="s">
        <v>1069</v>
      </c>
      <c r="F195" s="2" t="s">
        <v>295</v>
      </c>
      <c r="H195" s="2">
        <v>3</v>
      </c>
      <c r="I195" s="2">
        <v>1</v>
      </c>
      <c r="J195" s="2">
        <v>1</v>
      </c>
      <c r="L195" s="2" t="s">
        <v>1070</v>
      </c>
      <c r="M195" s="2" t="s">
        <v>711</v>
      </c>
      <c r="N195" s="2" t="s">
        <v>692</v>
      </c>
    </row>
    <row r="196" spans="1:15" ht="15" customHeight="1" x14ac:dyDescent="0.25">
      <c r="A196" s="2">
        <v>1211404</v>
      </c>
      <c r="B196" s="2" t="s">
        <v>1006</v>
      </c>
      <c r="C196" s="2" t="s">
        <v>216</v>
      </c>
      <c r="D196" s="2" t="s">
        <v>558</v>
      </c>
      <c r="E196" s="2" t="s">
        <v>1071</v>
      </c>
      <c r="F196" s="2" t="s">
        <v>295</v>
      </c>
      <c r="H196" s="2">
        <v>3</v>
      </c>
      <c r="I196" s="2">
        <v>2</v>
      </c>
      <c r="J196" s="2">
        <v>1</v>
      </c>
      <c r="L196" s="2" t="s">
        <v>1072</v>
      </c>
    </row>
    <row r="197" spans="1:15" ht="15" customHeight="1" x14ac:dyDescent="0.25">
      <c r="A197" s="2">
        <v>1211405</v>
      </c>
      <c r="B197" s="2" t="s">
        <v>1006</v>
      </c>
      <c r="C197" s="2" t="s">
        <v>216</v>
      </c>
      <c r="D197" s="2" t="s">
        <v>558</v>
      </c>
      <c r="E197" s="2" t="s">
        <v>1073</v>
      </c>
      <c r="F197" s="2" t="s">
        <v>295</v>
      </c>
      <c r="H197" s="2">
        <v>4</v>
      </c>
      <c r="I197" s="2">
        <v>3</v>
      </c>
      <c r="J197" s="2">
        <v>3</v>
      </c>
      <c r="L197" s="2" t="s">
        <v>1074</v>
      </c>
    </row>
    <row r="198" spans="1:15" ht="15" customHeight="1" x14ac:dyDescent="0.25">
      <c r="A198" s="2">
        <v>1211406</v>
      </c>
      <c r="B198" s="2" t="s">
        <v>1006</v>
      </c>
      <c r="C198" s="2" t="s">
        <v>216</v>
      </c>
      <c r="D198" s="2" t="s">
        <v>558</v>
      </c>
      <c r="E198" s="2" t="s">
        <v>1075</v>
      </c>
      <c r="F198" s="2" t="s">
        <v>295</v>
      </c>
      <c r="H198" s="2">
        <v>8</v>
      </c>
      <c r="I198" s="2">
        <v>4</v>
      </c>
      <c r="J198" s="2">
        <v>4</v>
      </c>
      <c r="L198" s="2" t="s">
        <v>892</v>
      </c>
      <c r="M198" s="2" t="s">
        <v>1076</v>
      </c>
    </row>
    <row r="199" spans="1:15" ht="15" customHeight="1" x14ac:dyDescent="0.25">
      <c r="A199" s="2">
        <v>1220101</v>
      </c>
      <c r="B199" s="2" t="s">
        <v>1006</v>
      </c>
      <c r="C199" s="2" t="s">
        <v>218</v>
      </c>
      <c r="D199" s="2" t="s">
        <v>552</v>
      </c>
      <c r="E199" s="2" t="s">
        <v>1077</v>
      </c>
      <c r="F199" s="2" t="s">
        <v>398</v>
      </c>
      <c r="H199" s="2">
        <v>0</v>
      </c>
      <c r="K199" s="2">
        <v>2</v>
      </c>
      <c r="L199" s="2" t="s">
        <v>1078</v>
      </c>
    </row>
    <row r="200" spans="1:15" ht="15" customHeight="1" x14ac:dyDescent="0.25">
      <c r="A200" s="2">
        <v>1220402</v>
      </c>
      <c r="B200" s="2" t="s">
        <v>1006</v>
      </c>
      <c r="C200" s="2" t="s">
        <v>218</v>
      </c>
      <c r="D200" s="2" t="s">
        <v>558</v>
      </c>
      <c r="E200" s="2" t="s">
        <v>1079</v>
      </c>
      <c r="F200" s="2" t="s">
        <v>295</v>
      </c>
      <c r="G200" s="2" t="s">
        <v>667</v>
      </c>
      <c r="H200" s="2">
        <v>1</v>
      </c>
      <c r="I200" s="2">
        <v>2</v>
      </c>
      <c r="J200" s="2">
        <v>2</v>
      </c>
    </row>
    <row r="201" spans="1:15" ht="15" customHeight="1" x14ac:dyDescent="0.25">
      <c r="A201" s="2">
        <v>1221101</v>
      </c>
      <c r="B201" s="2" t="s">
        <v>1006</v>
      </c>
      <c r="C201" s="2" t="s">
        <v>218</v>
      </c>
      <c r="D201" s="2" t="s">
        <v>552</v>
      </c>
      <c r="E201" s="2" t="s">
        <v>160</v>
      </c>
      <c r="F201" s="2" t="s">
        <v>295</v>
      </c>
      <c r="G201" s="2" t="s">
        <v>673</v>
      </c>
      <c r="H201" s="2">
        <v>5</v>
      </c>
      <c r="I201" s="2">
        <v>3</v>
      </c>
      <c r="J201" s="2">
        <v>5</v>
      </c>
      <c r="L201" s="2" t="s">
        <v>1080</v>
      </c>
      <c r="M201" s="2" t="s">
        <v>1081</v>
      </c>
      <c r="N201" s="2" t="s">
        <v>251</v>
      </c>
    </row>
    <row r="202" spans="1:15" ht="15" customHeight="1" x14ac:dyDescent="0.25">
      <c r="A202" s="2">
        <v>1221102</v>
      </c>
      <c r="B202" s="2" t="s">
        <v>1006</v>
      </c>
      <c r="C202" s="2" t="s">
        <v>218</v>
      </c>
      <c r="D202" s="2" t="s">
        <v>552</v>
      </c>
      <c r="E202" s="2" t="s">
        <v>1082</v>
      </c>
      <c r="F202" s="2" t="s">
        <v>295</v>
      </c>
      <c r="H202" s="2">
        <v>3</v>
      </c>
      <c r="I202" s="2">
        <v>2</v>
      </c>
      <c r="J202" s="2">
        <v>2</v>
      </c>
      <c r="L202" s="2" t="s">
        <v>1083</v>
      </c>
      <c r="M202" s="2" t="s">
        <v>1084</v>
      </c>
    </row>
    <row r="203" spans="1:15" ht="15" customHeight="1" x14ac:dyDescent="0.25">
      <c r="A203" s="2">
        <v>1221103</v>
      </c>
      <c r="B203" s="2" t="s">
        <v>1006</v>
      </c>
      <c r="C203" s="2" t="s">
        <v>218</v>
      </c>
      <c r="D203" s="2" t="s">
        <v>552</v>
      </c>
      <c r="E203" s="2" t="s">
        <v>1085</v>
      </c>
      <c r="F203" s="2" t="s">
        <v>295</v>
      </c>
      <c r="H203" s="2">
        <v>6</v>
      </c>
      <c r="I203" s="2">
        <v>4</v>
      </c>
      <c r="J203" s="2">
        <v>4</v>
      </c>
      <c r="L203" s="2" t="s">
        <v>1086</v>
      </c>
      <c r="M203" s="2" t="s">
        <v>1087</v>
      </c>
      <c r="N203" s="2" t="s">
        <v>1088</v>
      </c>
    </row>
    <row r="204" spans="1:15" ht="15" customHeight="1" x14ac:dyDescent="0.25">
      <c r="A204" s="2">
        <v>1221201</v>
      </c>
      <c r="B204" s="2" t="s">
        <v>1006</v>
      </c>
      <c r="C204" s="2" t="s">
        <v>218</v>
      </c>
      <c r="D204" s="2" t="s">
        <v>554</v>
      </c>
      <c r="E204" s="2" t="s">
        <v>156</v>
      </c>
      <c r="F204" s="2" t="s">
        <v>295</v>
      </c>
      <c r="H204" s="2">
        <v>4</v>
      </c>
      <c r="I204" s="2">
        <v>4</v>
      </c>
      <c r="J204" s="2">
        <v>4</v>
      </c>
      <c r="L204" s="2" t="s">
        <v>1089</v>
      </c>
      <c r="M204" s="2" t="s">
        <v>1090</v>
      </c>
    </row>
    <row r="205" spans="1:15" ht="15" customHeight="1" x14ac:dyDescent="0.25">
      <c r="A205" s="2">
        <v>1221202</v>
      </c>
      <c r="B205" s="2" t="s">
        <v>1006</v>
      </c>
      <c r="C205" s="2" t="s">
        <v>218</v>
      </c>
      <c r="D205" s="2" t="s">
        <v>554</v>
      </c>
      <c r="E205" s="2" t="s">
        <v>135</v>
      </c>
      <c r="F205" s="2" t="s">
        <v>295</v>
      </c>
      <c r="H205" s="2">
        <v>3</v>
      </c>
      <c r="I205" s="2">
        <v>2</v>
      </c>
      <c r="J205" s="2">
        <v>1</v>
      </c>
      <c r="L205" s="2" t="s">
        <v>1091</v>
      </c>
      <c r="M205" s="2" t="s">
        <v>1092</v>
      </c>
      <c r="N205" s="2" t="s">
        <v>1093</v>
      </c>
    </row>
    <row r="206" spans="1:15" ht="15" customHeight="1" x14ac:dyDescent="0.25">
      <c r="A206" s="2">
        <v>1221203</v>
      </c>
      <c r="B206" s="2" t="s">
        <v>1006</v>
      </c>
      <c r="C206" s="2" t="s">
        <v>218</v>
      </c>
      <c r="D206" s="2" t="s">
        <v>554</v>
      </c>
      <c r="E206" s="2" t="s">
        <v>1094</v>
      </c>
      <c r="F206" s="2" t="s">
        <v>295</v>
      </c>
      <c r="H206" s="2">
        <v>8</v>
      </c>
      <c r="I206" s="2">
        <v>6</v>
      </c>
      <c r="J206" s="2">
        <v>6</v>
      </c>
      <c r="L206" s="2" t="s">
        <v>1095</v>
      </c>
      <c r="M206" s="2" t="s">
        <v>1096</v>
      </c>
    </row>
    <row r="207" spans="1:15" ht="15" customHeight="1" x14ac:dyDescent="0.25">
      <c r="A207" s="2">
        <v>1221204</v>
      </c>
      <c r="B207" s="2" t="s">
        <v>1006</v>
      </c>
      <c r="C207" s="2" t="s">
        <v>218</v>
      </c>
      <c r="D207" s="2" t="s">
        <v>554</v>
      </c>
      <c r="E207" s="2" t="s">
        <v>173</v>
      </c>
      <c r="F207" s="2" t="s">
        <v>297</v>
      </c>
      <c r="G207" s="2" t="s">
        <v>673</v>
      </c>
      <c r="H207" s="2">
        <v>7</v>
      </c>
      <c r="L207" s="2" t="s">
        <v>1097</v>
      </c>
      <c r="M207" s="2" t="s">
        <v>1098</v>
      </c>
    </row>
    <row r="208" spans="1:15" ht="15" customHeight="1" x14ac:dyDescent="0.25">
      <c r="A208" s="2">
        <v>1221205</v>
      </c>
      <c r="B208" s="2" t="s">
        <v>1006</v>
      </c>
      <c r="C208" s="2" t="s">
        <v>218</v>
      </c>
      <c r="D208" s="2" t="s">
        <v>554</v>
      </c>
      <c r="E208" s="2" t="s">
        <v>1099</v>
      </c>
      <c r="F208" s="2" t="s">
        <v>295</v>
      </c>
      <c r="G208" s="2" t="s">
        <v>673</v>
      </c>
      <c r="H208" s="2">
        <v>7</v>
      </c>
      <c r="I208" s="2">
        <v>7</v>
      </c>
      <c r="J208" s="2">
        <v>6</v>
      </c>
      <c r="L208" s="2" t="s">
        <v>249</v>
      </c>
      <c r="M208" s="2" t="s">
        <v>1100</v>
      </c>
      <c r="N208" s="2" t="s">
        <v>1101</v>
      </c>
      <c r="O208" s="2" t="s">
        <v>1102</v>
      </c>
    </row>
    <row r="209" spans="1:14" ht="15" customHeight="1" x14ac:dyDescent="0.25">
      <c r="A209" s="2">
        <v>1221301</v>
      </c>
      <c r="B209" s="2" t="s">
        <v>1006</v>
      </c>
      <c r="C209" s="2" t="s">
        <v>218</v>
      </c>
      <c r="D209" s="2" t="s">
        <v>556</v>
      </c>
      <c r="E209" s="2" t="s">
        <v>1103</v>
      </c>
      <c r="F209" s="2" t="s">
        <v>295</v>
      </c>
      <c r="G209" s="2" t="s">
        <v>674</v>
      </c>
      <c r="H209" s="2">
        <v>1</v>
      </c>
      <c r="I209" s="2">
        <v>1</v>
      </c>
      <c r="J209" s="2">
        <v>1</v>
      </c>
      <c r="L209" s="2" t="s">
        <v>1104</v>
      </c>
      <c r="M209" s="2" t="s">
        <v>1105</v>
      </c>
    </row>
    <row r="210" spans="1:14" ht="15" customHeight="1" x14ac:dyDescent="0.25">
      <c r="A210" s="2">
        <v>1221302</v>
      </c>
      <c r="B210" s="2" t="s">
        <v>1006</v>
      </c>
      <c r="C210" s="2" t="s">
        <v>218</v>
      </c>
      <c r="D210" s="2" t="s">
        <v>556</v>
      </c>
      <c r="E210" s="2" t="s">
        <v>130</v>
      </c>
      <c r="F210" s="2" t="s">
        <v>295</v>
      </c>
      <c r="G210" s="2" t="s">
        <v>674</v>
      </c>
      <c r="H210" s="2">
        <v>2</v>
      </c>
      <c r="I210" s="2">
        <v>1</v>
      </c>
      <c r="J210" s="2">
        <v>2</v>
      </c>
      <c r="L210" s="2" t="s">
        <v>1106</v>
      </c>
      <c r="M210" s="2" t="s">
        <v>1107</v>
      </c>
    </row>
    <row r="211" spans="1:14" ht="15" customHeight="1" x14ac:dyDescent="0.25">
      <c r="A211" s="2">
        <v>1221303</v>
      </c>
      <c r="B211" s="2" t="s">
        <v>1006</v>
      </c>
      <c r="C211" s="2" t="s">
        <v>218</v>
      </c>
      <c r="D211" s="2" t="s">
        <v>556</v>
      </c>
      <c r="E211" s="2" t="s">
        <v>1108</v>
      </c>
      <c r="F211" s="2" t="s">
        <v>295</v>
      </c>
      <c r="H211" s="2">
        <v>2</v>
      </c>
      <c r="I211" s="2">
        <v>2</v>
      </c>
      <c r="J211" s="2">
        <v>1</v>
      </c>
      <c r="L211" s="2" t="s">
        <v>253</v>
      </c>
      <c r="M211" s="2" t="s">
        <v>1109</v>
      </c>
    </row>
    <row r="212" spans="1:14" ht="15" customHeight="1" x14ac:dyDescent="0.25">
      <c r="A212" s="2">
        <v>1221304</v>
      </c>
      <c r="B212" s="2" t="s">
        <v>1006</v>
      </c>
      <c r="C212" s="2" t="s">
        <v>218</v>
      </c>
      <c r="D212" s="2" t="s">
        <v>556</v>
      </c>
      <c r="E212" s="2" t="s">
        <v>1110</v>
      </c>
      <c r="F212" s="2" t="s">
        <v>295</v>
      </c>
      <c r="G212" s="2" t="s">
        <v>674</v>
      </c>
      <c r="H212" s="2">
        <v>5</v>
      </c>
      <c r="I212" s="2">
        <v>1</v>
      </c>
      <c r="J212" s="2">
        <v>3</v>
      </c>
      <c r="L212" s="2" t="s">
        <v>1111</v>
      </c>
      <c r="M212" s="2" t="s">
        <v>1112</v>
      </c>
    </row>
    <row r="213" spans="1:14" ht="15" customHeight="1" x14ac:dyDescent="0.25">
      <c r="A213" s="2">
        <v>1221305</v>
      </c>
      <c r="B213" s="2" t="s">
        <v>1006</v>
      </c>
      <c r="C213" s="2" t="s">
        <v>218</v>
      </c>
      <c r="D213" s="2" t="s">
        <v>556</v>
      </c>
      <c r="E213" s="2" t="s">
        <v>1113</v>
      </c>
      <c r="F213" s="2" t="s">
        <v>297</v>
      </c>
      <c r="H213" s="2">
        <v>3</v>
      </c>
      <c r="L213" s="2" t="s">
        <v>1114</v>
      </c>
    </row>
    <row r="214" spans="1:14" ht="15" customHeight="1" x14ac:dyDescent="0.25">
      <c r="A214" s="2">
        <v>1221401</v>
      </c>
      <c r="B214" s="2" t="s">
        <v>1006</v>
      </c>
      <c r="C214" s="2" t="s">
        <v>218</v>
      </c>
      <c r="D214" s="2" t="s">
        <v>558</v>
      </c>
      <c r="E214" s="2" t="s">
        <v>1115</v>
      </c>
      <c r="F214" s="2" t="s">
        <v>295</v>
      </c>
      <c r="H214" s="2">
        <v>3</v>
      </c>
      <c r="I214" s="2">
        <v>2</v>
      </c>
      <c r="J214" s="2">
        <v>2</v>
      </c>
      <c r="L214" s="2" t="s">
        <v>774</v>
      </c>
      <c r="M214" s="2" t="s">
        <v>257</v>
      </c>
    </row>
    <row r="215" spans="1:14" ht="15" customHeight="1" x14ac:dyDescent="0.25">
      <c r="A215" s="2">
        <v>1221402</v>
      </c>
      <c r="B215" s="2" t="s">
        <v>1006</v>
      </c>
      <c r="C215" s="2" t="s">
        <v>218</v>
      </c>
      <c r="D215" s="2" t="s">
        <v>558</v>
      </c>
      <c r="E215" s="2" t="s">
        <v>1116</v>
      </c>
      <c r="F215" s="2" t="s">
        <v>295</v>
      </c>
      <c r="H215" s="2">
        <v>2</v>
      </c>
      <c r="I215" s="2">
        <v>2</v>
      </c>
      <c r="J215" s="2">
        <v>1</v>
      </c>
      <c r="L215" s="2" t="s">
        <v>1117</v>
      </c>
      <c r="M215" s="2" t="s">
        <v>249</v>
      </c>
    </row>
    <row r="216" spans="1:14" ht="15" customHeight="1" x14ac:dyDescent="0.25">
      <c r="A216" s="2">
        <v>1221403</v>
      </c>
      <c r="B216" s="2" t="s">
        <v>1006</v>
      </c>
      <c r="C216" s="2" t="s">
        <v>218</v>
      </c>
      <c r="D216" s="2" t="s">
        <v>558</v>
      </c>
      <c r="E216" s="2" t="s">
        <v>1118</v>
      </c>
      <c r="F216" s="2" t="s">
        <v>295</v>
      </c>
      <c r="G216" s="2" t="s">
        <v>674</v>
      </c>
      <c r="H216" s="2">
        <v>3</v>
      </c>
      <c r="I216" s="2">
        <v>1</v>
      </c>
      <c r="J216" s="2">
        <v>2</v>
      </c>
      <c r="L216" s="2" t="s">
        <v>1119</v>
      </c>
      <c r="M216" s="2" t="s">
        <v>1120</v>
      </c>
    </row>
    <row r="217" spans="1:14" ht="15" customHeight="1" x14ac:dyDescent="0.25">
      <c r="A217" s="2">
        <v>1221404</v>
      </c>
      <c r="B217" s="2" t="s">
        <v>1006</v>
      </c>
      <c r="C217" s="2" t="s">
        <v>218</v>
      </c>
      <c r="D217" s="2" t="s">
        <v>558</v>
      </c>
      <c r="E217" s="2" t="s">
        <v>1121</v>
      </c>
      <c r="F217" s="2" t="s">
        <v>295</v>
      </c>
      <c r="H217" s="2">
        <v>3</v>
      </c>
      <c r="I217" s="2">
        <v>4</v>
      </c>
      <c r="J217" s="2">
        <v>2</v>
      </c>
      <c r="L217" s="2" t="s">
        <v>1122</v>
      </c>
      <c r="M217" s="2" t="s">
        <v>249</v>
      </c>
    </row>
    <row r="218" spans="1:14" ht="15" customHeight="1" x14ac:dyDescent="0.25">
      <c r="A218" s="2">
        <v>1221405</v>
      </c>
      <c r="B218" s="2" t="s">
        <v>1006</v>
      </c>
      <c r="C218" s="2" t="s">
        <v>218</v>
      </c>
      <c r="D218" s="2" t="s">
        <v>558</v>
      </c>
      <c r="E218" s="2" t="s">
        <v>1123</v>
      </c>
      <c r="F218" s="2" t="s">
        <v>297</v>
      </c>
      <c r="H218" s="2">
        <v>4</v>
      </c>
      <c r="L218" s="2" t="s">
        <v>802</v>
      </c>
      <c r="M218" s="2" t="s">
        <v>1124</v>
      </c>
    </row>
    <row r="219" spans="1:14" ht="15" customHeight="1" x14ac:dyDescent="0.25">
      <c r="A219" s="2">
        <v>1221408</v>
      </c>
      <c r="B219" s="2" t="s">
        <v>1006</v>
      </c>
      <c r="C219" s="2" t="s">
        <v>218</v>
      </c>
      <c r="D219" s="2" t="s">
        <v>558</v>
      </c>
      <c r="E219" s="2" t="s">
        <v>1125</v>
      </c>
      <c r="F219" s="2" t="s">
        <v>295</v>
      </c>
      <c r="H219" s="2">
        <v>6</v>
      </c>
      <c r="I219" s="2">
        <v>4</v>
      </c>
      <c r="J219" s="2">
        <v>6</v>
      </c>
      <c r="L219" s="2" t="s">
        <v>1126</v>
      </c>
      <c r="M219" s="2" t="s">
        <v>692</v>
      </c>
    </row>
    <row r="220" spans="1:14" ht="15" customHeight="1" x14ac:dyDescent="0.25">
      <c r="A220" s="2">
        <v>1230101</v>
      </c>
      <c r="B220" s="2" t="s">
        <v>1006</v>
      </c>
      <c r="C220" s="2" t="s">
        <v>219</v>
      </c>
      <c r="D220" s="2" t="s">
        <v>552</v>
      </c>
      <c r="E220" s="2" t="s">
        <v>1127</v>
      </c>
      <c r="F220" s="2" t="s">
        <v>398</v>
      </c>
      <c r="H220" s="2">
        <v>0</v>
      </c>
      <c r="K220" s="2">
        <v>1</v>
      </c>
      <c r="L220" s="2" t="s">
        <v>729</v>
      </c>
    </row>
    <row r="221" spans="1:14" ht="15" customHeight="1" x14ac:dyDescent="0.25">
      <c r="A221" s="2">
        <v>1230102</v>
      </c>
      <c r="B221" s="2" t="s">
        <v>1006</v>
      </c>
      <c r="C221" s="2" t="s">
        <v>219</v>
      </c>
      <c r="D221" s="2" t="s">
        <v>552</v>
      </c>
      <c r="E221" s="2" t="s">
        <v>1128</v>
      </c>
      <c r="F221" s="2" t="s">
        <v>295</v>
      </c>
      <c r="G221" s="2" t="s">
        <v>675</v>
      </c>
      <c r="H221" s="2">
        <v>3</v>
      </c>
      <c r="I221" s="2">
        <v>5</v>
      </c>
      <c r="J221" s="2">
        <v>5</v>
      </c>
      <c r="L221" s="2" t="s">
        <v>249</v>
      </c>
      <c r="M221" s="2" t="s">
        <v>257</v>
      </c>
      <c r="N221" s="2" t="s">
        <v>792</v>
      </c>
    </row>
    <row r="222" spans="1:14" ht="15" customHeight="1" x14ac:dyDescent="0.25">
      <c r="A222" s="2">
        <v>1230103</v>
      </c>
      <c r="B222" s="2" t="s">
        <v>1006</v>
      </c>
      <c r="C222" s="2" t="s">
        <v>219</v>
      </c>
      <c r="D222" s="2" t="s">
        <v>552</v>
      </c>
      <c r="E222" s="2" t="s">
        <v>1129</v>
      </c>
      <c r="F222" s="2" t="s">
        <v>295</v>
      </c>
      <c r="G222" s="2" t="s">
        <v>676</v>
      </c>
      <c r="H222" s="2">
        <v>4</v>
      </c>
      <c r="I222" s="2">
        <v>4</v>
      </c>
      <c r="J222" s="2">
        <v>5</v>
      </c>
      <c r="L222" s="2" t="s">
        <v>257</v>
      </c>
      <c r="M222" s="2" t="s">
        <v>1130</v>
      </c>
    </row>
    <row r="223" spans="1:14" ht="15" customHeight="1" x14ac:dyDescent="0.25">
      <c r="A223" s="2">
        <v>1230201</v>
      </c>
      <c r="B223" s="2" t="s">
        <v>1006</v>
      </c>
      <c r="C223" s="2" t="s">
        <v>219</v>
      </c>
      <c r="D223" s="2" t="s">
        <v>554</v>
      </c>
      <c r="E223" s="2" t="s">
        <v>1131</v>
      </c>
      <c r="F223" s="2" t="s">
        <v>297</v>
      </c>
      <c r="G223" s="2" t="s">
        <v>675</v>
      </c>
      <c r="H223" s="2">
        <v>1</v>
      </c>
      <c r="L223" s="2" t="s">
        <v>760</v>
      </c>
      <c r="M223" s="2" t="s">
        <v>705</v>
      </c>
    </row>
    <row r="224" spans="1:14" ht="15" customHeight="1" x14ac:dyDescent="0.25">
      <c r="A224" s="2">
        <v>1230202</v>
      </c>
      <c r="B224" s="2" t="s">
        <v>1006</v>
      </c>
      <c r="C224" s="2" t="s">
        <v>219</v>
      </c>
      <c r="D224" s="2" t="s">
        <v>554</v>
      </c>
      <c r="E224" s="2" t="s">
        <v>1132</v>
      </c>
      <c r="F224" s="2" t="s">
        <v>398</v>
      </c>
      <c r="H224" s="2">
        <v>0</v>
      </c>
      <c r="K224" s="2">
        <v>3</v>
      </c>
      <c r="L224" s="2" t="s">
        <v>1133</v>
      </c>
    </row>
    <row r="225" spans="1:17" ht="15" customHeight="1" x14ac:dyDescent="0.25">
      <c r="A225" s="2">
        <v>1230401</v>
      </c>
      <c r="B225" s="2" t="s">
        <v>1006</v>
      </c>
      <c r="C225" s="2" t="s">
        <v>219</v>
      </c>
      <c r="D225" s="2" t="s">
        <v>558</v>
      </c>
      <c r="E225" s="2" t="s">
        <v>1134</v>
      </c>
      <c r="F225" s="2" t="s">
        <v>295</v>
      </c>
      <c r="G225" s="2" t="s">
        <v>676</v>
      </c>
      <c r="H225" s="2">
        <v>2</v>
      </c>
      <c r="I225" s="2">
        <v>2</v>
      </c>
      <c r="J225" s="2">
        <v>1</v>
      </c>
      <c r="L225" s="2" t="s">
        <v>249</v>
      </c>
      <c r="M225" s="2" t="s">
        <v>1135</v>
      </c>
    </row>
    <row r="226" spans="1:17" ht="15" customHeight="1" x14ac:dyDescent="0.25">
      <c r="A226" s="2">
        <v>1230403</v>
      </c>
      <c r="B226" s="2" t="s">
        <v>1006</v>
      </c>
      <c r="C226" s="2" t="s">
        <v>219</v>
      </c>
      <c r="D226" s="2" t="s">
        <v>558</v>
      </c>
      <c r="E226" s="2" t="s">
        <v>1136</v>
      </c>
      <c r="F226" s="2" t="s">
        <v>295</v>
      </c>
      <c r="G226" s="2" t="s">
        <v>676</v>
      </c>
      <c r="H226" s="2">
        <v>3</v>
      </c>
      <c r="I226" s="2">
        <v>3</v>
      </c>
      <c r="J226" s="2">
        <v>3</v>
      </c>
      <c r="L226" s="2" t="s">
        <v>249</v>
      </c>
      <c r="M226" s="2" t="s">
        <v>1135</v>
      </c>
    </row>
    <row r="227" spans="1:17" ht="15" customHeight="1" x14ac:dyDescent="0.25">
      <c r="A227" s="2">
        <v>1231101</v>
      </c>
      <c r="B227" s="2" t="s">
        <v>1006</v>
      </c>
      <c r="C227" s="2" t="s">
        <v>219</v>
      </c>
      <c r="D227" s="2" t="s">
        <v>552</v>
      </c>
      <c r="E227" s="2" t="s">
        <v>170</v>
      </c>
      <c r="F227" s="2" t="s">
        <v>295</v>
      </c>
      <c r="H227" s="2">
        <v>7</v>
      </c>
      <c r="I227" s="2">
        <v>3</v>
      </c>
      <c r="J227" s="2">
        <v>3</v>
      </c>
      <c r="L227" s="2" t="s">
        <v>1137</v>
      </c>
      <c r="M227" s="2" t="s">
        <v>1138</v>
      </c>
      <c r="N227" s="2" t="s">
        <v>907</v>
      </c>
      <c r="O227" s="2" t="s">
        <v>1139</v>
      </c>
      <c r="P227" s="2" t="s">
        <v>1140</v>
      </c>
      <c r="Q227" s="2" t="s">
        <v>1141</v>
      </c>
    </row>
    <row r="228" spans="1:17" ht="15" customHeight="1" x14ac:dyDescent="0.25">
      <c r="A228" s="2">
        <v>1231102</v>
      </c>
      <c r="B228" s="2" t="s">
        <v>1006</v>
      </c>
      <c r="C228" s="2" t="s">
        <v>219</v>
      </c>
      <c r="D228" s="2" t="s">
        <v>552</v>
      </c>
      <c r="E228" s="2" t="s">
        <v>162</v>
      </c>
      <c r="F228" s="2" t="s">
        <v>295</v>
      </c>
      <c r="G228" s="2" t="s">
        <v>675</v>
      </c>
      <c r="H228" s="2">
        <v>5</v>
      </c>
      <c r="I228" s="2">
        <v>4</v>
      </c>
      <c r="J228" s="2">
        <v>4</v>
      </c>
      <c r="L228" s="2" t="s">
        <v>1142</v>
      </c>
      <c r="M228" s="2" t="s">
        <v>1143</v>
      </c>
      <c r="N228" s="2" t="s">
        <v>1144</v>
      </c>
    </row>
    <row r="229" spans="1:17" ht="15" customHeight="1" x14ac:dyDescent="0.25">
      <c r="A229" s="2">
        <v>1231104</v>
      </c>
      <c r="B229" s="2" t="s">
        <v>1006</v>
      </c>
      <c r="C229" s="2" t="s">
        <v>219</v>
      </c>
      <c r="D229" s="2" t="s">
        <v>552</v>
      </c>
      <c r="E229" s="2" t="s">
        <v>180</v>
      </c>
      <c r="F229" s="2" t="s">
        <v>297</v>
      </c>
      <c r="H229" s="2">
        <v>18</v>
      </c>
      <c r="L229" s="2" t="s">
        <v>1145</v>
      </c>
      <c r="M229" s="2" t="s">
        <v>1146</v>
      </c>
      <c r="N229" s="2" t="s">
        <v>1147</v>
      </c>
      <c r="O229" s="2" t="s">
        <v>1148</v>
      </c>
      <c r="P229" s="2" t="s">
        <v>1149</v>
      </c>
    </row>
    <row r="230" spans="1:17" ht="15" customHeight="1" x14ac:dyDescent="0.25">
      <c r="A230" s="2">
        <v>1231201</v>
      </c>
      <c r="B230" s="2" t="s">
        <v>1006</v>
      </c>
      <c r="C230" s="2" t="s">
        <v>219</v>
      </c>
      <c r="D230" s="2" t="s">
        <v>554</v>
      </c>
      <c r="E230" s="2" t="s">
        <v>147</v>
      </c>
      <c r="F230" s="2" t="s">
        <v>297</v>
      </c>
      <c r="G230" s="2" t="s">
        <v>675</v>
      </c>
      <c r="H230" s="2">
        <v>3</v>
      </c>
      <c r="L230" s="2" t="s">
        <v>1150</v>
      </c>
      <c r="M230" s="2" t="s">
        <v>1151</v>
      </c>
      <c r="N230" s="2" t="s">
        <v>760</v>
      </c>
    </row>
    <row r="231" spans="1:17" ht="15" customHeight="1" x14ac:dyDescent="0.25">
      <c r="A231" s="2">
        <v>1231202</v>
      </c>
      <c r="B231" s="2" t="s">
        <v>1006</v>
      </c>
      <c r="C231" s="2" t="s">
        <v>219</v>
      </c>
      <c r="D231" s="2" t="s">
        <v>554</v>
      </c>
      <c r="E231" s="2" t="s">
        <v>152</v>
      </c>
      <c r="F231" s="2" t="s">
        <v>295</v>
      </c>
      <c r="H231" s="2">
        <v>4</v>
      </c>
      <c r="I231" s="2">
        <v>2</v>
      </c>
      <c r="J231" s="2">
        <v>2</v>
      </c>
      <c r="L231" s="2" t="s">
        <v>1152</v>
      </c>
      <c r="M231" s="2" t="s">
        <v>1153</v>
      </c>
      <c r="N231" s="2" t="s">
        <v>1154</v>
      </c>
    </row>
    <row r="232" spans="1:17" ht="15" customHeight="1" x14ac:dyDescent="0.25">
      <c r="A232" s="2">
        <v>1231203</v>
      </c>
      <c r="B232" s="2" t="s">
        <v>1006</v>
      </c>
      <c r="C232" s="2" t="s">
        <v>219</v>
      </c>
      <c r="D232" s="2" t="s">
        <v>554</v>
      </c>
      <c r="E232" s="2" t="s">
        <v>1155</v>
      </c>
      <c r="F232" s="2" t="s">
        <v>295</v>
      </c>
      <c r="H232" s="2">
        <v>2</v>
      </c>
      <c r="I232" s="2">
        <v>2</v>
      </c>
      <c r="J232" s="2">
        <v>2</v>
      </c>
      <c r="L232" s="2" t="s">
        <v>1156</v>
      </c>
      <c r="M232" s="2" t="s">
        <v>1157</v>
      </c>
      <c r="N232" s="2" t="s">
        <v>1158</v>
      </c>
      <c r="O232" s="2" t="s">
        <v>1159</v>
      </c>
    </row>
    <row r="233" spans="1:17" ht="15" customHeight="1" x14ac:dyDescent="0.25">
      <c r="A233" s="2">
        <v>1231204</v>
      </c>
      <c r="B233" s="2" t="s">
        <v>1006</v>
      </c>
      <c r="C233" s="2" t="s">
        <v>219</v>
      </c>
      <c r="D233" s="2" t="s">
        <v>554</v>
      </c>
      <c r="E233" s="2" t="s">
        <v>175</v>
      </c>
      <c r="F233" s="2" t="s">
        <v>297</v>
      </c>
      <c r="H233" s="2">
        <v>7</v>
      </c>
      <c r="L233" s="2" t="s">
        <v>1145</v>
      </c>
      <c r="M233" s="2" t="s">
        <v>1160</v>
      </c>
    </row>
    <row r="234" spans="1:17" ht="15" customHeight="1" x14ac:dyDescent="0.25">
      <c r="A234" s="2">
        <v>1231205</v>
      </c>
      <c r="B234" s="2" t="s">
        <v>1006</v>
      </c>
      <c r="C234" s="2" t="s">
        <v>219</v>
      </c>
      <c r="D234" s="2" t="s">
        <v>554</v>
      </c>
      <c r="E234" s="2" t="s">
        <v>1161</v>
      </c>
      <c r="F234" s="2" t="s">
        <v>295</v>
      </c>
      <c r="H234" s="2">
        <v>5</v>
      </c>
      <c r="I234" s="2">
        <v>3</v>
      </c>
      <c r="J234" s="2">
        <v>3</v>
      </c>
      <c r="L234" s="2" t="s">
        <v>1162</v>
      </c>
      <c r="M234" s="2" t="s">
        <v>1163</v>
      </c>
    </row>
    <row r="235" spans="1:17" ht="15" customHeight="1" x14ac:dyDescent="0.25">
      <c r="A235" s="2">
        <v>1231301</v>
      </c>
      <c r="B235" s="2" t="s">
        <v>1006</v>
      </c>
      <c r="C235" s="2" t="s">
        <v>219</v>
      </c>
      <c r="D235" s="2" t="s">
        <v>556</v>
      </c>
      <c r="E235" s="2" t="s">
        <v>132</v>
      </c>
      <c r="F235" s="2" t="s">
        <v>297</v>
      </c>
      <c r="H235" s="2">
        <v>3</v>
      </c>
      <c r="L235" s="2" t="s">
        <v>1164</v>
      </c>
    </row>
    <row r="236" spans="1:17" ht="15" customHeight="1" x14ac:dyDescent="0.25">
      <c r="A236" s="2">
        <v>1231302</v>
      </c>
      <c r="B236" s="2" t="s">
        <v>1006</v>
      </c>
      <c r="C236" s="2" t="s">
        <v>219</v>
      </c>
      <c r="D236" s="2" t="s">
        <v>556</v>
      </c>
      <c r="E236" s="2" t="s">
        <v>1165</v>
      </c>
      <c r="F236" s="2" t="s">
        <v>295</v>
      </c>
      <c r="G236" s="2" t="s">
        <v>675</v>
      </c>
      <c r="H236" s="2">
        <v>2</v>
      </c>
      <c r="I236" s="2">
        <v>2</v>
      </c>
      <c r="J236" s="2">
        <v>2</v>
      </c>
      <c r="L236" s="2" t="s">
        <v>1166</v>
      </c>
      <c r="M236" s="2" t="s">
        <v>1144</v>
      </c>
      <c r="N236" s="2" t="s">
        <v>1167</v>
      </c>
    </row>
    <row r="237" spans="1:17" ht="15" customHeight="1" x14ac:dyDescent="0.25">
      <c r="A237" s="2">
        <v>1231303</v>
      </c>
      <c r="B237" s="2" t="s">
        <v>1006</v>
      </c>
      <c r="C237" s="2" t="s">
        <v>219</v>
      </c>
      <c r="D237" s="2" t="s">
        <v>556</v>
      </c>
      <c r="E237" s="2" t="s">
        <v>178</v>
      </c>
      <c r="F237" s="2" t="s">
        <v>297</v>
      </c>
      <c r="H237" s="2">
        <v>8</v>
      </c>
      <c r="L237" s="2" t="s">
        <v>1145</v>
      </c>
      <c r="M237" s="2" t="s">
        <v>2412</v>
      </c>
    </row>
    <row r="238" spans="1:17" ht="15" customHeight="1" x14ac:dyDescent="0.25">
      <c r="A238" s="2">
        <v>1231305</v>
      </c>
      <c r="B238" s="2" t="s">
        <v>1006</v>
      </c>
      <c r="C238" s="2" t="s">
        <v>219</v>
      </c>
      <c r="D238" s="2" t="s">
        <v>556</v>
      </c>
      <c r="E238" s="2" t="s">
        <v>1168</v>
      </c>
      <c r="F238" s="2" t="s">
        <v>295</v>
      </c>
      <c r="H238" s="2">
        <v>5</v>
      </c>
      <c r="I238" s="2">
        <v>2</v>
      </c>
      <c r="J238" s="2">
        <v>2</v>
      </c>
      <c r="L238" s="2" t="s">
        <v>1145</v>
      </c>
      <c r="M238" s="2" t="s">
        <v>1169</v>
      </c>
      <c r="N238" s="2" t="s">
        <v>1170</v>
      </c>
    </row>
    <row r="239" spans="1:17" ht="15" customHeight="1" x14ac:dyDescent="0.25">
      <c r="A239" s="2">
        <v>1231306</v>
      </c>
      <c r="B239" s="2" t="s">
        <v>1006</v>
      </c>
      <c r="C239" s="2" t="s">
        <v>219</v>
      </c>
      <c r="D239" s="2" t="s">
        <v>556</v>
      </c>
      <c r="E239" s="2" t="s">
        <v>1171</v>
      </c>
      <c r="F239" s="2" t="s">
        <v>295</v>
      </c>
      <c r="G239" s="2" t="s">
        <v>675</v>
      </c>
      <c r="H239" s="2">
        <v>6</v>
      </c>
      <c r="I239" s="2">
        <v>5</v>
      </c>
      <c r="J239" s="2">
        <v>5</v>
      </c>
      <c r="L239" s="2" t="s">
        <v>1150</v>
      </c>
      <c r="M239" s="2" t="s">
        <v>1172</v>
      </c>
      <c r="N239" s="2" t="s">
        <v>1173</v>
      </c>
    </row>
    <row r="240" spans="1:17" ht="15" customHeight="1" x14ac:dyDescent="0.25">
      <c r="A240" s="2">
        <v>1231401</v>
      </c>
      <c r="B240" s="2" t="s">
        <v>1006</v>
      </c>
      <c r="C240" s="2" t="s">
        <v>219</v>
      </c>
      <c r="D240" s="2" t="s">
        <v>558</v>
      </c>
      <c r="E240" s="2" t="s">
        <v>1174</v>
      </c>
      <c r="F240" s="2" t="s">
        <v>295</v>
      </c>
      <c r="H240" s="2">
        <v>2</v>
      </c>
      <c r="I240" s="2">
        <v>2</v>
      </c>
      <c r="J240" s="2">
        <v>2</v>
      </c>
      <c r="L240" s="2" t="s">
        <v>1023</v>
      </c>
      <c r="M240" s="2" t="s">
        <v>892</v>
      </c>
      <c r="N240" s="2" t="s">
        <v>1175</v>
      </c>
    </row>
    <row r="241" spans="1:15" ht="15" customHeight="1" x14ac:dyDescent="0.25">
      <c r="A241" s="2">
        <v>1231402</v>
      </c>
      <c r="B241" s="2" t="s">
        <v>1006</v>
      </c>
      <c r="C241" s="2" t="s">
        <v>219</v>
      </c>
      <c r="D241" s="2" t="s">
        <v>558</v>
      </c>
      <c r="E241" s="2" t="s">
        <v>116</v>
      </c>
      <c r="F241" s="2" t="s">
        <v>297</v>
      </c>
      <c r="H241" s="2">
        <v>1</v>
      </c>
      <c r="L241" s="2" t="s">
        <v>1176</v>
      </c>
      <c r="M241" s="2" t="s">
        <v>1177</v>
      </c>
    </row>
    <row r="242" spans="1:15" ht="15" customHeight="1" x14ac:dyDescent="0.25">
      <c r="A242" s="2">
        <v>1231403</v>
      </c>
      <c r="B242" s="2" t="s">
        <v>1006</v>
      </c>
      <c r="C242" s="2" t="s">
        <v>219</v>
      </c>
      <c r="D242" s="2" t="s">
        <v>558</v>
      </c>
      <c r="E242" s="2" t="s">
        <v>1178</v>
      </c>
      <c r="F242" s="2" t="s">
        <v>295</v>
      </c>
      <c r="H242" s="2">
        <v>4</v>
      </c>
      <c r="I242" s="2">
        <v>2</v>
      </c>
      <c r="J242" s="2">
        <v>2</v>
      </c>
      <c r="L242" s="2" t="s">
        <v>841</v>
      </c>
      <c r="M242" s="2" t="s">
        <v>1173</v>
      </c>
    </row>
    <row r="243" spans="1:15" ht="15" customHeight="1" x14ac:dyDescent="0.25">
      <c r="A243" s="2">
        <v>1231404</v>
      </c>
      <c r="B243" s="2" t="s">
        <v>1006</v>
      </c>
      <c r="C243" s="2" t="s">
        <v>219</v>
      </c>
      <c r="D243" s="2" t="s">
        <v>558</v>
      </c>
      <c r="E243" s="2" t="s">
        <v>1179</v>
      </c>
      <c r="F243" s="2" t="s">
        <v>295</v>
      </c>
      <c r="H243" s="2">
        <v>3</v>
      </c>
      <c r="I243" s="2">
        <v>3</v>
      </c>
      <c r="J243" s="2">
        <v>3</v>
      </c>
      <c r="L243" s="2" t="s">
        <v>1175</v>
      </c>
      <c r="M243" s="2" t="s">
        <v>1180</v>
      </c>
    </row>
    <row r="244" spans="1:15" ht="15" customHeight="1" x14ac:dyDescent="0.25">
      <c r="A244" s="2">
        <v>1231405</v>
      </c>
      <c r="B244" s="2" t="s">
        <v>1006</v>
      </c>
      <c r="C244" s="2" t="s">
        <v>219</v>
      </c>
      <c r="D244" s="2" t="s">
        <v>558</v>
      </c>
      <c r="E244" s="2" t="s">
        <v>1181</v>
      </c>
      <c r="F244" s="2" t="s">
        <v>297</v>
      </c>
      <c r="H244" s="2">
        <v>2</v>
      </c>
      <c r="L244" s="2" t="s">
        <v>1182</v>
      </c>
      <c r="M244" s="2" t="s">
        <v>1066</v>
      </c>
    </row>
    <row r="245" spans="1:15" ht="15" customHeight="1" x14ac:dyDescent="0.25">
      <c r="A245" s="2">
        <v>1231406</v>
      </c>
      <c r="B245" s="2" t="s">
        <v>1006</v>
      </c>
      <c r="C245" s="2" t="s">
        <v>219</v>
      </c>
      <c r="D245" s="2" t="s">
        <v>558</v>
      </c>
      <c r="E245" s="2" t="s">
        <v>1183</v>
      </c>
      <c r="F245" s="2" t="s">
        <v>295</v>
      </c>
      <c r="H245" s="2">
        <v>5</v>
      </c>
      <c r="I245" s="2">
        <v>1</v>
      </c>
      <c r="J245" s="2">
        <v>1</v>
      </c>
      <c r="L245" s="2" t="s">
        <v>1184</v>
      </c>
      <c r="M245" s="2" t="s">
        <v>1185</v>
      </c>
    </row>
    <row r="246" spans="1:15" ht="15" customHeight="1" x14ac:dyDescent="0.25">
      <c r="A246" s="2">
        <v>1240101</v>
      </c>
      <c r="B246" s="2" t="s">
        <v>1006</v>
      </c>
      <c r="C246" s="2" t="s">
        <v>220</v>
      </c>
      <c r="D246" s="2" t="s">
        <v>552</v>
      </c>
      <c r="E246" s="2" t="s">
        <v>1186</v>
      </c>
      <c r="F246" s="2" t="s">
        <v>398</v>
      </c>
      <c r="H246" s="2">
        <v>0</v>
      </c>
      <c r="L246" s="2" t="s">
        <v>1187</v>
      </c>
      <c r="M246" s="2" t="s">
        <v>1188</v>
      </c>
    </row>
    <row r="247" spans="1:15" ht="15" customHeight="1" x14ac:dyDescent="0.25">
      <c r="A247" s="2">
        <v>1240102</v>
      </c>
      <c r="B247" s="2" t="s">
        <v>1006</v>
      </c>
      <c r="C247" s="2" t="s">
        <v>220</v>
      </c>
      <c r="D247" s="2" t="s">
        <v>552</v>
      </c>
      <c r="E247" s="2" t="s">
        <v>1189</v>
      </c>
      <c r="F247" s="2" t="s">
        <v>295</v>
      </c>
      <c r="H247" s="2">
        <v>4</v>
      </c>
      <c r="I247" s="2">
        <v>4</v>
      </c>
      <c r="J247" s="2">
        <v>5</v>
      </c>
      <c r="L247" s="2" t="s">
        <v>257</v>
      </c>
    </row>
    <row r="248" spans="1:15" ht="15" customHeight="1" x14ac:dyDescent="0.25">
      <c r="A248" s="2">
        <v>1240103</v>
      </c>
      <c r="B248" s="2" t="s">
        <v>1006</v>
      </c>
      <c r="C248" s="2" t="s">
        <v>220</v>
      </c>
      <c r="D248" s="2" t="s">
        <v>552</v>
      </c>
      <c r="E248" s="2" t="s">
        <v>1190</v>
      </c>
      <c r="F248" s="2" t="s">
        <v>295</v>
      </c>
      <c r="H248" s="2">
        <v>4</v>
      </c>
      <c r="I248" s="2">
        <v>5</v>
      </c>
      <c r="J248" s="2">
        <v>4</v>
      </c>
      <c r="L248" s="2" t="s">
        <v>249</v>
      </c>
    </row>
    <row r="249" spans="1:15" ht="15" customHeight="1" x14ac:dyDescent="0.25">
      <c r="A249" s="2">
        <v>1240201</v>
      </c>
      <c r="B249" s="2" t="s">
        <v>1006</v>
      </c>
      <c r="C249" s="2" t="s">
        <v>220</v>
      </c>
      <c r="D249" s="2" t="s">
        <v>554</v>
      </c>
      <c r="E249" s="2" t="s">
        <v>1191</v>
      </c>
      <c r="F249" s="2" t="s">
        <v>295</v>
      </c>
      <c r="G249" s="2" t="s">
        <v>677</v>
      </c>
      <c r="H249" s="2">
        <v>3</v>
      </c>
      <c r="I249" s="2">
        <v>2</v>
      </c>
      <c r="J249" s="2">
        <v>2</v>
      </c>
      <c r="L249" s="2" t="s">
        <v>251</v>
      </c>
      <c r="M249" s="2" t="s">
        <v>257</v>
      </c>
    </row>
    <row r="250" spans="1:15" ht="15" customHeight="1" x14ac:dyDescent="0.25">
      <c r="A250" s="2">
        <v>1240402</v>
      </c>
      <c r="B250" s="2" t="s">
        <v>1006</v>
      </c>
      <c r="C250" s="2" t="s">
        <v>220</v>
      </c>
      <c r="D250" s="2" t="s">
        <v>558</v>
      </c>
      <c r="E250" s="2" t="s">
        <v>1192</v>
      </c>
      <c r="F250" s="2" t="s">
        <v>295</v>
      </c>
      <c r="H250" s="2">
        <v>1</v>
      </c>
      <c r="I250" s="2">
        <v>1</v>
      </c>
      <c r="J250" s="2">
        <v>1</v>
      </c>
      <c r="L250" s="2" t="s">
        <v>261</v>
      </c>
    </row>
    <row r="251" spans="1:15" ht="15" customHeight="1" x14ac:dyDescent="0.25">
      <c r="A251" s="2">
        <v>1241101</v>
      </c>
      <c r="B251" s="2" t="s">
        <v>1006</v>
      </c>
      <c r="C251" s="2" t="s">
        <v>220</v>
      </c>
      <c r="D251" s="2" t="s">
        <v>552</v>
      </c>
      <c r="E251" s="2" t="s">
        <v>1193</v>
      </c>
      <c r="F251" s="2" t="s">
        <v>295</v>
      </c>
      <c r="H251" s="2">
        <v>6</v>
      </c>
      <c r="I251" s="2">
        <v>5</v>
      </c>
      <c r="J251" s="2">
        <v>2</v>
      </c>
      <c r="L251" s="2" t="s">
        <v>251</v>
      </c>
      <c r="M251" s="2" t="s">
        <v>261</v>
      </c>
    </row>
    <row r="252" spans="1:15" ht="15" customHeight="1" x14ac:dyDescent="0.25">
      <c r="A252" s="2">
        <v>1241103</v>
      </c>
      <c r="B252" s="2" t="s">
        <v>1006</v>
      </c>
      <c r="C252" s="2" t="s">
        <v>220</v>
      </c>
      <c r="D252" s="2" t="s">
        <v>552</v>
      </c>
      <c r="E252" s="2" t="s">
        <v>1194</v>
      </c>
      <c r="F252" s="2" t="s">
        <v>295</v>
      </c>
      <c r="H252" s="2">
        <v>8</v>
      </c>
      <c r="I252" s="2">
        <v>5</v>
      </c>
      <c r="J252" s="2">
        <v>5</v>
      </c>
      <c r="L252" s="2" t="s">
        <v>1195</v>
      </c>
      <c r="M252" s="2" t="s">
        <v>1196</v>
      </c>
      <c r="N252" s="2" t="s">
        <v>1197</v>
      </c>
      <c r="O252" s="2" t="s">
        <v>1198</v>
      </c>
    </row>
    <row r="253" spans="1:15" ht="15" customHeight="1" x14ac:dyDescent="0.25">
      <c r="A253" s="2">
        <v>1241104</v>
      </c>
      <c r="B253" s="2" t="s">
        <v>1006</v>
      </c>
      <c r="C253" s="2" t="s">
        <v>220</v>
      </c>
      <c r="D253" s="2" t="s">
        <v>552</v>
      </c>
      <c r="E253" s="2" t="s">
        <v>1199</v>
      </c>
      <c r="F253" s="2" t="s">
        <v>295</v>
      </c>
      <c r="G253" s="2" t="s">
        <v>678</v>
      </c>
      <c r="H253" s="2">
        <v>7</v>
      </c>
      <c r="I253" s="2">
        <v>7</v>
      </c>
      <c r="J253" s="2">
        <v>7</v>
      </c>
      <c r="L253" s="2" t="s">
        <v>1200</v>
      </c>
      <c r="M253" s="2" t="s">
        <v>1201</v>
      </c>
    </row>
    <row r="254" spans="1:15" ht="15" customHeight="1" x14ac:dyDescent="0.25">
      <c r="A254" s="2">
        <v>1241201</v>
      </c>
      <c r="B254" s="2" t="s">
        <v>1006</v>
      </c>
      <c r="C254" s="2" t="s">
        <v>220</v>
      </c>
      <c r="D254" s="2" t="s">
        <v>554</v>
      </c>
      <c r="E254" s="2" t="s">
        <v>1202</v>
      </c>
      <c r="F254" s="2" t="s">
        <v>299</v>
      </c>
      <c r="H254" s="2">
        <v>1</v>
      </c>
      <c r="L254" s="2" t="s">
        <v>1203</v>
      </c>
      <c r="M254" s="2" t="s">
        <v>1204</v>
      </c>
    </row>
    <row r="255" spans="1:15" ht="15" customHeight="1" x14ac:dyDescent="0.25">
      <c r="A255" s="2">
        <v>1241202</v>
      </c>
      <c r="B255" s="2" t="s">
        <v>1006</v>
      </c>
      <c r="C255" s="2" t="s">
        <v>220</v>
      </c>
      <c r="D255" s="2" t="s">
        <v>554</v>
      </c>
      <c r="E255" s="2" t="s">
        <v>1205</v>
      </c>
      <c r="F255" s="2" t="s">
        <v>295</v>
      </c>
      <c r="H255" s="2">
        <v>4</v>
      </c>
      <c r="I255" s="2">
        <v>3</v>
      </c>
      <c r="J255" s="2">
        <v>3</v>
      </c>
      <c r="L255" s="2" t="s">
        <v>1206</v>
      </c>
      <c r="M255" s="2" t="s">
        <v>1207</v>
      </c>
    </row>
    <row r="256" spans="1:15" ht="15" customHeight="1" x14ac:dyDescent="0.25">
      <c r="A256" s="2">
        <v>1241203</v>
      </c>
      <c r="B256" s="2" t="s">
        <v>1006</v>
      </c>
      <c r="C256" s="2" t="s">
        <v>220</v>
      </c>
      <c r="D256" s="2" t="s">
        <v>554</v>
      </c>
      <c r="E256" s="2" t="s">
        <v>1208</v>
      </c>
      <c r="F256" s="2" t="s">
        <v>295</v>
      </c>
      <c r="H256" s="2">
        <v>6</v>
      </c>
      <c r="I256" s="2">
        <v>3</v>
      </c>
      <c r="J256" s="2">
        <v>3</v>
      </c>
      <c r="L256" s="2" t="s">
        <v>1209</v>
      </c>
      <c r="M256" s="2" t="s">
        <v>257</v>
      </c>
    </row>
    <row r="257" spans="1:13" ht="15" customHeight="1" x14ac:dyDescent="0.25">
      <c r="A257" s="2">
        <v>1241204</v>
      </c>
      <c r="B257" s="2" t="s">
        <v>1006</v>
      </c>
      <c r="C257" s="2" t="s">
        <v>220</v>
      </c>
      <c r="D257" s="2" t="s">
        <v>554</v>
      </c>
      <c r="E257" s="2" t="s">
        <v>1210</v>
      </c>
      <c r="F257" s="2" t="s">
        <v>295</v>
      </c>
      <c r="H257" s="2">
        <v>9</v>
      </c>
      <c r="I257" s="2">
        <v>9</v>
      </c>
      <c r="J257" s="2">
        <v>9</v>
      </c>
      <c r="L257" s="2" t="s">
        <v>1211</v>
      </c>
      <c r="M257" s="2" t="s">
        <v>1212</v>
      </c>
    </row>
    <row r="258" spans="1:13" ht="15" customHeight="1" x14ac:dyDescent="0.25">
      <c r="A258" s="2">
        <v>1241205</v>
      </c>
      <c r="B258" s="2" t="s">
        <v>1006</v>
      </c>
      <c r="C258" s="2" t="s">
        <v>220</v>
      </c>
      <c r="D258" s="2" t="s">
        <v>554</v>
      </c>
      <c r="E258" s="2" t="s">
        <v>1213</v>
      </c>
      <c r="F258" s="2" t="s">
        <v>295</v>
      </c>
      <c r="H258" s="2">
        <v>10</v>
      </c>
      <c r="I258" s="2">
        <v>9</v>
      </c>
      <c r="J258" s="2">
        <v>10</v>
      </c>
      <c r="L258" s="2" t="s">
        <v>251</v>
      </c>
    </row>
    <row r="259" spans="1:13" ht="15" customHeight="1" x14ac:dyDescent="0.25">
      <c r="A259" s="2">
        <v>1241301</v>
      </c>
      <c r="B259" s="2" t="s">
        <v>1006</v>
      </c>
      <c r="C259" s="2" t="s">
        <v>220</v>
      </c>
      <c r="D259" s="2" t="s">
        <v>556</v>
      </c>
      <c r="E259" s="2" t="s">
        <v>1214</v>
      </c>
      <c r="F259" s="2" t="s">
        <v>295</v>
      </c>
      <c r="H259" s="2">
        <v>3</v>
      </c>
      <c r="I259" s="2">
        <v>2</v>
      </c>
      <c r="J259" s="2">
        <v>1</v>
      </c>
      <c r="L259" s="2" t="s">
        <v>1215</v>
      </c>
      <c r="M259" s="2" t="s">
        <v>251</v>
      </c>
    </row>
    <row r="260" spans="1:13" ht="15" customHeight="1" x14ac:dyDescent="0.25">
      <c r="A260" s="2">
        <v>1241302</v>
      </c>
      <c r="B260" s="2" t="s">
        <v>1006</v>
      </c>
      <c r="C260" s="2" t="s">
        <v>220</v>
      </c>
      <c r="D260" s="2" t="s">
        <v>556</v>
      </c>
      <c r="E260" s="2" t="s">
        <v>1216</v>
      </c>
      <c r="F260" s="2" t="s">
        <v>295</v>
      </c>
      <c r="H260" s="2">
        <v>3</v>
      </c>
      <c r="I260" s="2">
        <v>3</v>
      </c>
      <c r="J260" s="2">
        <v>3</v>
      </c>
      <c r="L260" s="2" t="s">
        <v>1217</v>
      </c>
    </row>
    <row r="261" spans="1:13" ht="15" customHeight="1" x14ac:dyDescent="0.25">
      <c r="A261" s="2">
        <v>1241303</v>
      </c>
      <c r="B261" s="2" t="s">
        <v>1006</v>
      </c>
      <c r="C261" s="2" t="s">
        <v>220</v>
      </c>
      <c r="D261" s="2" t="s">
        <v>556</v>
      </c>
      <c r="E261" s="2" t="s">
        <v>1218</v>
      </c>
      <c r="F261" s="2" t="s">
        <v>297</v>
      </c>
      <c r="H261" s="2">
        <v>3</v>
      </c>
      <c r="L261" s="2" t="s">
        <v>760</v>
      </c>
      <c r="M261" s="2" t="s">
        <v>1219</v>
      </c>
    </row>
    <row r="262" spans="1:13" ht="15" customHeight="1" x14ac:dyDescent="0.25">
      <c r="A262" s="2">
        <v>1241304</v>
      </c>
      <c r="B262" s="2" t="s">
        <v>1006</v>
      </c>
      <c r="C262" s="2" t="s">
        <v>220</v>
      </c>
      <c r="D262" s="2" t="s">
        <v>556</v>
      </c>
      <c r="E262" s="2" t="s">
        <v>1220</v>
      </c>
      <c r="F262" s="2" t="s">
        <v>295</v>
      </c>
      <c r="H262" s="2">
        <v>4</v>
      </c>
      <c r="I262" s="2">
        <v>3</v>
      </c>
      <c r="J262" s="2">
        <v>3</v>
      </c>
      <c r="L262" s="2" t="s">
        <v>1221</v>
      </c>
    </row>
    <row r="263" spans="1:13" ht="15" customHeight="1" x14ac:dyDescent="0.25">
      <c r="A263" s="2">
        <v>1241305</v>
      </c>
      <c r="B263" s="2" t="s">
        <v>1006</v>
      </c>
      <c r="C263" s="2" t="s">
        <v>220</v>
      </c>
      <c r="D263" s="2" t="s">
        <v>556</v>
      </c>
      <c r="E263" s="2" t="s">
        <v>1222</v>
      </c>
      <c r="F263" s="2" t="s">
        <v>295</v>
      </c>
      <c r="H263" s="2">
        <v>6</v>
      </c>
      <c r="I263" s="2">
        <v>8</v>
      </c>
      <c r="J263" s="2">
        <v>7</v>
      </c>
      <c r="L263" s="2" t="s">
        <v>1223</v>
      </c>
      <c r="M263" s="2" t="s">
        <v>249</v>
      </c>
    </row>
    <row r="264" spans="1:13" ht="15" customHeight="1" x14ac:dyDescent="0.25">
      <c r="A264" s="2">
        <v>1241401</v>
      </c>
      <c r="B264" s="2" t="s">
        <v>1006</v>
      </c>
      <c r="C264" s="2" t="s">
        <v>220</v>
      </c>
      <c r="D264" s="2" t="s">
        <v>558</v>
      </c>
      <c r="E264" s="2" t="s">
        <v>1224</v>
      </c>
      <c r="F264" s="2" t="s">
        <v>295</v>
      </c>
      <c r="H264" s="2">
        <v>4</v>
      </c>
      <c r="I264" s="2">
        <v>2</v>
      </c>
      <c r="J264" s="2">
        <v>2</v>
      </c>
      <c r="L264" s="2" t="s">
        <v>975</v>
      </c>
    </row>
    <row r="265" spans="1:13" ht="15" customHeight="1" x14ac:dyDescent="0.25">
      <c r="A265" s="2">
        <v>1241402</v>
      </c>
      <c r="B265" s="2" t="s">
        <v>1006</v>
      </c>
      <c r="C265" s="2" t="s">
        <v>220</v>
      </c>
      <c r="D265" s="2" t="s">
        <v>558</v>
      </c>
      <c r="E265" s="2" t="s">
        <v>1225</v>
      </c>
      <c r="F265" s="2" t="s">
        <v>295</v>
      </c>
      <c r="H265" s="2">
        <v>2</v>
      </c>
      <c r="I265" s="2">
        <v>1</v>
      </c>
      <c r="J265" s="2">
        <v>1</v>
      </c>
      <c r="L265" s="2" t="s">
        <v>1226</v>
      </c>
      <c r="M265" s="2" t="s">
        <v>692</v>
      </c>
    </row>
    <row r="266" spans="1:13" ht="15" customHeight="1" x14ac:dyDescent="0.25">
      <c r="A266" s="2">
        <v>1241403</v>
      </c>
      <c r="B266" s="2" t="s">
        <v>1006</v>
      </c>
      <c r="C266" s="2" t="s">
        <v>220</v>
      </c>
      <c r="D266" s="2" t="s">
        <v>558</v>
      </c>
      <c r="E266" s="2" t="s">
        <v>1227</v>
      </c>
      <c r="F266" s="2" t="s">
        <v>295</v>
      </c>
      <c r="H266" s="2">
        <v>4</v>
      </c>
      <c r="I266" s="2">
        <v>4</v>
      </c>
      <c r="J266" s="2">
        <v>4</v>
      </c>
      <c r="L266" s="2" t="s">
        <v>1228</v>
      </c>
    </row>
    <row r="267" spans="1:13" ht="15" customHeight="1" x14ac:dyDescent="0.25">
      <c r="A267" s="2">
        <v>1241404</v>
      </c>
      <c r="B267" s="2" t="s">
        <v>1006</v>
      </c>
      <c r="C267" s="2" t="s">
        <v>220</v>
      </c>
      <c r="D267" s="2" t="s">
        <v>558</v>
      </c>
      <c r="E267" s="2" t="s">
        <v>1229</v>
      </c>
      <c r="F267" s="2" t="s">
        <v>295</v>
      </c>
      <c r="H267" s="2">
        <v>5</v>
      </c>
      <c r="I267" s="2">
        <v>4</v>
      </c>
      <c r="J267" s="2">
        <v>6</v>
      </c>
      <c r="L267" s="2" t="s">
        <v>1230</v>
      </c>
    </row>
    <row r="268" spans="1:13" ht="15" customHeight="1" x14ac:dyDescent="0.25">
      <c r="A268" s="2">
        <v>1241405</v>
      </c>
      <c r="B268" s="2" t="s">
        <v>1006</v>
      </c>
      <c r="C268" s="2" t="s">
        <v>220</v>
      </c>
      <c r="D268" s="2" t="s">
        <v>558</v>
      </c>
      <c r="E268" s="2" t="s">
        <v>1231</v>
      </c>
      <c r="F268" s="2" t="s">
        <v>297</v>
      </c>
      <c r="H268" s="2">
        <v>6</v>
      </c>
      <c r="L268" s="2" t="s">
        <v>1232</v>
      </c>
    </row>
    <row r="269" spans="1:13" ht="15" customHeight="1" x14ac:dyDescent="0.25">
      <c r="A269" s="2">
        <v>1241406</v>
      </c>
      <c r="B269" s="2" t="s">
        <v>1006</v>
      </c>
      <c r="C269" s="2" t="s">
        <v>220</v>
      </c>
      <c r="D269" s="2" t="s">
        <v>558</v>
      </c>
      <c r="E269" s="2" t="s">
        <v>1233</v>
      </c>
      <c r="F269" s="2" t="s">
        <v>295</v>
      </c>
      <c r="H269" s="2">
        <v>8</v>
      </c>
      <c r="I269" s="2">
        <v>6</v>
      </c>
      <c r="J269" s="2">
        <v>6</v>
      </c>
      <c r="L269" s="2" t="s">
        <v>257</v>
      </c>
      <c r="M269" s="2" t="s">
        <v>1234</v>
      </c>
    </row>
    <row r="270" spans="1:13" ht="15" customHeight="1" x14ac:dyDescent="0.25">
      <c r="A270" s="2">
        <v>1250101</v>
      </c>
      <c r="B270" s="2" t="s">
        <v>1006</v>
      </c>
      <c r="C270" s="2" t="s">
        <v>222</v>
      </c>
      <c r="D270" s="2" t="s">
        <v>552</v>
      </c>
      <c r="E270" s="2" t="s">
        <v>1235</v>
      </c>
      <c r="F270" s="2" t="s">
        <v>295</v>
      </c>
      <c r="H270" s="2">
        <v>1</v>
      </c>
      <c r="I270" s="2">
        <v>2</v>
      </c>
      <c r="J270" s="2">
        <v>1</v>
      </c>
      <c r="L270" s="2" t="s">
        <v>249</v>
      </c>
      <c r="M270" s="2" t="s">
        <v>1236</v>
      </c>
    </row>
    <row r="271" spans="1:13" ht="15" customHeight="1" x14ac:dyDescent="0.25">
      <c r="A271" s="2">
        <v>1250102</v>
      </c>
      <c r="B271" s="2" t="s">
        <v>1006</v>
      </c>
      <c r="C271" s="2" t="s">
        <v>222</v>
      </c>
      <c r="D271" s="2" t="s">
        <v>552</v>
      </c>
      <c r="E271" s="2" t="s">
        <v>1237</v>
      </c>
      <c r="F271" s="2" t="s">
        <v>295</v>
      </c>
      <c r="H271" s="2">
        <v>1</v>
      </c>
      <c r="I271" s="2">
        <v>1</v>
      </c>
      <c r="J271" s="2">
        <v>2</v>
      </c>
      <c r="L271" s="2" t="s">
        <v>249</v>
      </c>
      <c r="M271" s="2" t="s">
        <v>977</v>
      </c>
    </row>
    <row r="272" spans="1:13" ht="15" customHeight="1" x14ac:dyDescent="0.25">
      <c r="A272" s="2">
        <v>1250201</v>
      </c>
      <c r="B272" s="2" t="s">
        <v>1006</v>
      </c>
      <c r="C272" s="2" t="s">
        <v>222</v>
      </c>
      <c r="D272" s="2" t="s">
        <v>554</v>
      </c>
      <c r="E272" s="2" t="s">
        <v>1238</v>
      </c>
      <c r="F272" s="2" t="s">
        <v>398</v>
      </c>
      <c r="H272" s="2">
        <v>0</v>
      </c>
      <c r="K272" s="2">
        <v>4</v>
      </c>
      <c r="L272" s="2" t="s">
        <v>1239</v>
      </c>
    </row>
    <row r="273" spans="1:16" ht="15" customHeight="1" x14ac:dyDescent="0.25">
      <c r="A273" s="2">
        <v>1250402</v>
      </c>
      <c r="B273" s="2" t="s">
        <v>1006</v>
      </c>
      <c r="C273" s="2" t="s">
        <v>222</v>
      </c>
      <c r="D273" s="2" t="s">
        <v>558</v>
      </c>
      <c r="E273" s="2" t="s">
        <v>1240</v>
      </c>
      <c r="F273" s="2" t="s">
        <v>295</v>
      </c>
      <c r="G273" s="2" t="s">
        <v>669</v>
      </c>
      <c r="H273" s="2">
        <v>0</v>
      </c>
      <c r="I273" s="2">
        <v>1</v>
      </c>
      <c r="J273" s="2">
        <v>1</v>
      </c>
    </row>
    <row r="274" spans="1:16" ht="15" customHeight="1" x14ac:dyDescent="0.25">
      <c r="A274" s="2">
        <v>1251101</v>
      </c>
      <c r="B274" s="2" t="s">
        <v>1006</v>
      </c>
      <c r="C274" s="2" t="s">
        <v>222</v>
      </c>
      <c r="D274" s="2" t="s">
        <v>552</v>
      </c>
      <c r="E274" s="2" t="s">
        <v>1241</v>
      </c>
      <c r="F274" s="2" t="s">
        <v>295</v>
      </c>
      <c r="H274" s="2">
        <v>5</v>
      </c>
      <c r="I274" s="2">
        <v>4</v>
      </c>
      <c r="J274" s="2">
        <v>3</v>
      </c>
      <c r="L274" s="2" t="s">
        <v>1242</v>
      </c>
      <c r="M274" s="2" t="s">
        <v>1243</v>
      </c>
    </row>
    <row r="275" spans="1:16" ht="15" customHeight="1" x14ac:dyDescent="0.25">
      <c r="A275" s="2">
        <v>1251102</v>
      </c>
      <c r="B275" s="2" t="s">
        <v>1006</v>
      </c>
      <c r="C275" s="2" t="s">
        <v>222</v>
      </c>
      <c r="D275" s="2" t="s">
        <v>552</v>
      </c>
      <c r="E275" s="2" t="s">
        <v>1244</v>
      </c>
      <c r="F275" s="2" t="s">
        <v>295</v>
      </c>
      <c r="H275" s="2">
        <v>7</v>
      </c>
      <c r="I275" s="2">
        <v>3</v>
      </c>
      <c r="J275" s="2">
        <v>7</v>
      </c>
      <c r="L275" s="2" t="s">
        <v>249</v>
      </c>
      <c r="M275" s="2" t="s">
        <v>1245</v>
      </c>
      <c r="N275" s="2" t="s">
        <v>1246</v>
      </c>
    </row>
    <row r="276" spans="1:16" ht="15" customHeight="1" x14ac:dyDescent="0.25">
      <c r="A276" s="2">
        <v>1251104</v>
      </c>
      <c r="B276" s="2" t="s">
        <v>1006</v>
      </c>
      <c r="C276" s="2" t="s">
        <v>222</v>
      </c>
      <c r="D276" s="2" t="s">
        <v>552</v>
      </c>
      <c r="E276" s="2" t="s">
        <v>1247</v>
      </c>
      <c r="F276" s="2" t="s">
        <v>295</v>
      </c>
      <c r="H276" s="2">
        <v>8</v>
      </c>
      <c r="I276" s="2">
        <v>6</v>
      </c>
      <c r="J276" s="2">
        <v>6</v>
      </c>
      <c r="L276" s="2" t="s">
        <v>1248</v>
      </c>
      <c r="M276" s="2" t="s">
        <v>1249</v>
      </c>
      <c r="N276" s="2" t="s">
        <v>1250</v>
      </c>
      <c r="O276" s="2" t="s">
        <v>1251</v>
      </c>
      <c r="P276" s="2" t="s">
        <v>1251</v>
      </c>
    </row>
    <row r="277" spans="1:16" ht="15" customHeight="1" x14ac:dyDescent="0.25">
      <c r="A277" s="2">
        <v>1251202</v>
      </c>
      <c r="B277" s="2" t="s">
        <v>1006</v>
      </c>
      <c r="C277" s="2" t="s">
        <v>222</v>
      </c>
      <c r="D277" s="2" t="s">
        <v>554</v>
      </c>
      <c r="E277" s="2" t="s">
        <v>1252</v>
      </c>
      <c r="F277" s="2" t="s">
        <v>297</v>
      </c>
      <c r="H277" s="2">
        <v>2</v>
      </c>
      <c r="L277" s="2" t="s">
        <v>1031</v>
      </c>
      <c r="M277" s="2" t="s">
        <v>1253</v>
      </c>
    </row>
    <row r="278" spans="1:16" ht="15" customHeight="1" x14ac:dyDescent="0.25">
      <c r="A278" s="2">
        <v>1251203</v>
      </c>
      <c r="B278" s="2" t="s">
        <v>1006</v>
      </c>
      <c r="C278" s="2" t="s">
        <v>222</v>
      </c>
      <c r="D278" s="2" t="s">
        <v>554</v>
      </c>
      <c r="E278" s="2" t="s">
        <v>1254</v>
      </c>
      <c r="F278" s="2" t="s">
        <v>295</v>
      </c>
      <c r="H278" s="2">
        <v>3</v>
      </c>
      <c r="I278" s="2">
        <v>3</v>
      </c>
      <c r="J278" s="2">
        <v>1</v>
      </c>
      <c r="L278" s="2" t="s">
        <v>1255</v>
      </c>
    </row>
    <row r="279" spans="1:16" ht="15" customHeight="1" x14ac:dyDescent="0.25">
      <c r="A279" s="2">
        <v>1251204</v>
      </c>
      <c r="B279" s="2" t="s">
        <v>1006</v>
      </c>
      <c r="C279" s="2" t="s">
        <v>222</v>
      </c>
      <c r="D279" s="2" t="s">
        <v>554</v>
      </c>
      <c r="E279" s="2" t="s">
        <v>1256</v>
      </c>
      <c r="F279" s="2" t="s">
        <v>295</v>
      </c>
      <c r="H279" s="2">
        <v>4</v>
      </c>
      <c r="I279" s="2">
        <v>1</v>
      </c>
      <c r="J279" s="2">
        <v>4</v>
      </c>
      <c r="L279" s="2" t="s">
        <v>255</v>
      </c>
      <c r="M279" s="2" t="s">
        <v>1257</v>
      </c>
    </row>
    <row r="280" spans="1:16" ht="15" customHeight="1" x14ac:dyDescent="0.25">
      <c r="A280" s="2">
        <v>1251205</v>
      </c>
      <c r="B280" s="2" t="s">
        <v>1006</v>
      </c>
      <c r="C280" s="2" t="s">
        <v>222</v>
      </c>
      <c r="D280" s="2" t="s">
        <v>554</v>
      </c>
      <c r="E280" s="2" t="s">
        <v>1258</v>
      </c>
      <c r="F280" s="2" t="s">
        <v>295</v>
      </c>
      <c r="H280" s="2">
        <v>4</v>
      </c>
      <c r="I280" s="2">
        <v>3</v>
      </c>
      <c r="J280" s="2">
        <v>3</v>
      </c>
      <c r="L280" s="2" t="s">
        <v>1259</v>
      </c>
      <c r="M280" s="2" t="s">
        <v>1260</v>
      </c>
      <c r="N280" s="2" t="s">
        <v>1261</v>
      </c>
    </row>
    <row r="281" spans="1:16" ht="15" customHeight="1" x14ac:dyDescent="0.25">
      <c r="A281" s="2">
        <v>1251206</v>
      </c>
      <c r="B281" s="2" t="s">
        <v>1006</v>
      </c>
      <c r="C281" s="2" t="s">
        <v>222</v>
      </c>
      <c r="D281" s="2" t="s">
        <v>554</v>
      </c>
      <c r="E281" s="2" t="s">
        <v>1262</v>
      </c>
      <c r="F281" s="2" t="s">
        <v>295</v>
      </c>
      <c r="H281" s="2">
        <v>2</v>
      </c>
      <c r="I281" s="2">
        <v>2</v>
      </c>
      <c r="J281" s="2">
        <v>2</v>
      </c>
      <c r="L281" s="2" t="s">
        <v>1263</v>
      </c>
      <c r="M281" s="2" t="s">
        <v>257</v>
      </c>
      <c r="N281" s="2" t="s">
        <v>1264</v>
      </c>
    </row>
    <row r="282" spans="1:16" ht="15" customHeight="1" x14ac:dyDescent="0.25">
      <c r="A282" s="2">
        <v>1251301</v>
      </c>
      <c r="B282" s="2" t="s">
        <v>1006</v>
      </c>
      <c r="C282" s="2" t="s">
        <v>222</v>
      </c>
      <c r="D282" s="2" t="s">
        <v>556</v>
      </c>
      <c r="E282" s="2" t="s">
        <v>1265</v>
      </c>
      <c r="F282" s="2" t="s">
        <v>295</v>
      </c>
      <c r="H282" s="2">
        <v>2</v>
      </c>
      <c r="I282" s="2">
        <v>2</v>
      </c>
      <c r="J282" s="2">
        <v>1</v>
      </c>
      <c r="L282" s="2" t="s">
        <v>1266</v>
      </c>
      <c r="M282" s="2" t="s">
        <v>1267</v>
      </c>
      <c r="N282" s="2" t="s">
        <v>1268</v>
      </c>
    </row>
    <row r="283" spans="1:16" ht="15" customHeight="1" x14ac:dyDescent="0.25">
      <c r="A283" s="2">
        <v>1251302</v>
      </c>
      <c r="B283" s="2" t="s">
        <v>1006</v>
      </c>
      <c r="C283" s="2" t="s">
        <v>222</v>
      </c>
      <c r="D283" s="2" t="s">
        <v>556</v>
      </c>
      <c r="E283" s="2" t="s">
        <v>1269</v>
      </c>
      <c r="F283" s="2" t="s">
        <v>295</v>
      </c>
      <c r="H283" s="2">
        <v>2</v>
      </c>
      <c r="I283" s="2">
        <v>3</v>
      </c>
      <c r="J283" s="2">
        <v>3</v>
      </c>
      <c r="L283" s="2" t="s">
        <v>1270</v>
      </c>
      <c r="M283" s="2" t="s">
        <v>1271</v>
      </c>
    </row>
    <row r="284" spans="1:16" ht="15" customHeight="1" x14ac:dyDescent="0.25">
      <c r="A284" s="2">
        <v>1251304</v>
      </c>
      <c r="B284" s="2" t="s">
        <v>1006</v>
      </c>
      <c r="C284" s="2" t="s">
        <v>222</v>
      </c>
      <c r="D284" s="2" t="s">
        <v>556</v>
      </c>
      <c r="E284" s="2" t="s">
        <v>1272</v>
      </c>
      <c r="F284" s="2" t="s">
        <v>295</v>
      </c>
      <c r="H284" s="2">
        <v>4</v>
      </c>
      <c r="I284" s="2">
        <v>3</v>
      </c>
      <c r="J284" s="2">
        <v>5</v>
      </c>
      <c r="L284" s="2" t="s">
        <v>257</v>
      </c>
      <c r="M284" s="2" t="s">
        <v>1273</v>
      </c>
      <c r="N284" s="2" t="s">
        <v>1274</v>
      </c>
    </row>
    <row r="285" spans="1:16" ht="15" customHeight="1" x14ac:dyDescent="0.25">
      <c r="A285" s="2">
        <v>1251305</v>
      </c>
      <c r="B285" s="2" t="s">
        <v>1006</v>
      </c>
      <c r="C285" s="2" t="s">
        <v>222</v>
      </c>
      <c r="D285" s="2" t="s">
        <v>556</v>
      </c>
      <c r="E285" s="2" t="s">
        <v>1275</v>
      </c>
      <c r="F285" s="2" t="s">
        <v>295</v>
      </c>
      <c r="H285" s="2">
        <v>8</v>
      </c>
      <c r="I285" s="2">
        <v>5</v>
      </c>
      <c r="J285" s="2">
        <v>8</v>
      </c>
      <c r="L285" s="2" t="s">
        <v>1091</v>
      </c>
      <c r="M285" s="2" t="s">
        <v>776</v>
      </c>
    </row>
    <row r="286" spans="1:16" ht="15" customHeight="1" x14ac:dyDescent="0.25">
      <c r="A286" s="2">
        <v>1251306</v>
      </c>
      <c r="B286" s="2" t="s">
        <v>1006</v>
      </c>
      <c r="C286" s="2" t="s">
        <v>222</v>
      </c>
      <c r="D286" s="2" t="s">
        <v>556</v>
      </c>
      <c r="E286" s="2" t="s">
        <v>1276</v>
      </c>
      <c r="F286" s="2" t="s">
        <v>299</v>
      </c>
      <c r="H286" s="2">
        <v>3</v>
      </c>
      <c r="L286" s="2" t="s">
        <v>1263</v>
      </c>
      <c r="M286" s="2" t="s">
        <v>693</v>
      </c>
      <c r="N286" s="2" t="s">
        <v>1277</v>
      </c>
    </row>
    <row r="287" spans="1:16" ht="15" customHeight="1" x14ac:dyDescent="0.25">
      <c r="A287" s="2">
        <v>1251401</v>
      </c>
      <c r="B287" s="2" t="s">
        <v>1006</v>
      </c>
      <c r="C287" s="2" t="s">
        <v>222</v>
      </c>
      <c r="D287" s="2" t="s">
        <v>558</v>
      </c>
      <c r="E287" s="2" t="s">
        <v>1278</v>
      </c>
      <c r="F287" s="2" t="s">
        <v>297</v>
      </c>
      <c r="H287" s="2">
        <v>1</v>
      </c>
      <c r="L287" s="2" t="s">
        <v>759</v>
      </c>
      <c r="M287" s="2" t="s">
        <v>802</v>
      </c>
    </row>
    <row r="288" spans="1:16" ht="15" customHeight="1" x14ac:dyDescent="0.25">
      <c r="A288" s="2">
        <v>1251402</v>
      </c>
      <c r="B288" s="2" t="s">
        <v>1006</v>
      </c>
      <c r="C288" s="2" t="s">
        <v>222</v>
      </c>
      <c r="D288" s="2" t="s">
        <v>558</v>
      </c>
      <c r="E288" s="2" t="s">
        <v>1279</v>
      </c>
      <c r="F288" s="2" t="s">
        <v>295</v>
      </c>
      <c r="H288" s="2">
        <v>2</v>
      </c>
      <c r="I288" s="2">
        <v>2</v>
      </c>
      <c r="J288" s="2">
        <v>2</v>
      </c>
      <c r="L288" s="2" t="s">
        <v>1280</v>
      </c>
    </row>
    <row r="289" spans="1:15" ht="15" customHeight="1" x14ac:dyDescent="0.25">
      <c r="A289" s="2">
        <v>1251403</v>
      </c>
      <c r="B289" s="2" t="s">
        <v>1006</v>
      </c>
      <c r="C289" s="2" t="s">
        <v>222</v>
      </c>
      <c r="D289" s="2" t="s">
        <v>558</v>
      </c>
      <c r="E289" s="2" t="s">
        <v>1281</v>
      </c>
      <c r="F289" s="2" t="s">
        <v>295</v>
      </c>
      <c r="H289" s="2">
        <v>3</v>
      </c>
      <c r="I289" s="2">
        <v>1</v>
      </c>
      <c r="J289" s="2">
        <v>1</v>
      </c>
      <c r="L289" s="2" t="s">
        <v>1282</v>
      </c>
      <c r="M289" s="2" t="s">
        <v>1283</v>
      </c>
      <c r="N289" s="2" t="s">
        <v>1284</v>
      </c>
    </row>
    <row r="290" spans="1:15" ht="15" customHeight="1" x14ac:dyDescent="0.25">
      <c r="A290" s="2">
        <v>1251404</v>
      </c>
      <c r="B290" s="2" t="s">
        <v>1006</v>
      </c>
      <c r="C290" s="2" t="s">
        <v>222</v>
      </c>
      <c r="D290" s="2" t="s">
        <v>558</v>
      </c>
      <c r="E290" s="2" t="s">
        <v>1285</v>
      </c>
      <c r="F290" s="2" t="s">
        <v>295</v>
      </c>
      <c r="H290" s="2">
        <v>3</v>
      </c>
      <c r="I290" s="2">
        <v>1</v>
      </c>
      <c r="J290" s="2">
        <v>2</v>
      </c>
      <c r="L290" s="2" t="s">
        <v>1286</v>
      </c>
    </row>
    <row r="291" spans="1:15" ht="15" customHeight="1" x14ac:dyDescent="0.25">
      <c r="A291" s="2">
        <v>1251405</v>
      </c>
      <c r="B291" s="2" t="s">
        <v>1006</v>
      </c>
      <c r="C291" s="2" t="s">
        <v>222</v>
      </c>
      <c r="D291" s="2" t="s">
        <v>558</v>
      </c>
      <c r="E291" s="2" t="s">
        <v>1287</v>
      </c>
      <c r="F291" s="2" t="s">
        <v>295</v>
      </c>
      <c r="H291" s="2">
        <v>5</v>
      </c>
      <c r="I291" s="2">
        <v>4</v>
      </c>
      <c r="J291" s="2">
        <v>4</v>
      </c>
      <c r="L291" s="2" t="s">
        <v>841</v>
      </c>
      <c r="M291" s="2" t="s">
        <v>1288</v>
      </c>
      <c r="N291" s="2" t="s">
        <v>1289</v>
      </c>
    </row>
    <row r="292" spans="1:15" ht="15" customHeight="1" x14ac:dyDescent="0.25">
      <c r="A292" s="2">
        <v>1251406</v>
      </c>
      <c r="B292" s="2" t="s">
        <v>1006</v>
      </c>
      <c r="C292" s="2" t="s">
        <v>222</v>
      </c>
      <c r="D292" s="2" t="s">
        <v>558</v>
      </c>
      <c r="E292" s="2" t="s">
        <v>1290</v>
      </c>
      <c r="F292" s="2" t="s">
        <v>295</v>
      </c>
      <c r="H292" s="2">
        <v>6</v>
      </c>
      <c r="I292" s="2">
        <v>5</v>
      </c>
      <c r="J292" s="2">
        <v>5</v>
      </c>
      <c r="L292" s="2" t="s">
        <v>1291</v>
      </c>
    </row>
    <row r="293" spans="1:15" ht="15" customHeight="1" x14ac:dyDescent="0.25">
      <c r="A293" s="2">
        <v>1260201</v>
      </c>
      <c r="B293" s="2" t="s">
        <v>1006</v>
      </c>
      <c r="C293" s="2" t="s">
        <v>224</v>
      </c>
      <c r="D293" s="2" t="s">
        <v>554</v>
      </c>
      <c r="E293" s="2" t="s">
        <v>1292</v>
      </c>
      <c r="F293" s="2" t="s">
        <v>398</v>
      </c>
      <c r="H293" s="2">
        <v>0</v>
      </c>
      <c r="K293" s="2">
        <v>2</v>
      </c>
      <c r="L293" s="2" t="s">
        <v>1293</v>
      </c>
    </row>
    <row r="294" spans="1:15" ht="15" customHeight="1" x14ac:dyDescent="0.25">
      <c r="A294" s="2">
        <v>1261101</v>
      </c>
      <c r="B294" s="2" t="s">
        <v>1006</v>
      </c>
      <c r="C294" s="2" t="s">
        <v>224</v>
      </c>
      <c r="D294" s="2" t="s">
        <v>552</v>
      </c>
      <c r="E294" s="2" t="s">
        <v>1295</v>
      </c>
      <c r="F294" s="2" t="s">
        <v>295</v>
      </c>
      <c r="G294" s="2" t="s">
        <v>678</v>
      </c>
      <c r="H294" s="2">
        <v>7</v>
      </c>
      <c r="I294" s="2">
        <v>5</v>
      </c>
      <c r="J294" s="2">
        <v>5</v>
      </c>
      <c r="L294" s="2" t="s">
        <v>840</v>
      </c>
      <c r="M294" s="2" t="s">
        <v>1296</v>
      </c>
      <c r="N294" s="2" t="s">
        <v>1297</v>
      </c>
      <c r="O294" s="2" t="s">
        <v>1298</v>
      </c>
    </row>
    <row r="295" spans="1:15" ht="15" customHeight="1" x14ac:dyDescent="0.25">
      <c r="A295" s="2">
        <v>1261102</v>
      </c>
      <c r="B295" s="2" t="s">
        <v>1006</v>
      </c>
      <c r="C295" s="2" t="s">
        <v>224</v>
      </c>
      <c r="D295" s="2" t="s">
        <v>552</v>
      </c>
      <c r="E295" s="2" t="s">
        <v>148</v>
      </c>
      <c r="F295" s="2" t="s">
        <v>295</v>
      </c>
      <c r="H295" s="2">
        <v>5</v>
      </c>
      <c r="I295" s="2">
        <v>3</v>
      </c>
      <c r="J295" s="2">
        <v>3</v>
      </c>
      <c r="L295" s="2" t="s">
        <v>1299</v>
      </c>
      <c r="M295" s="2" t="s">
        <v>257</v>
      </c>
      <c r="N295" s="2" t="s">
        <v>1300</v>
      </c>
    </row>
    <row r="296" spans="1:15" ht="15" customHeight="1" x14ac:dyDescent="0.25">
      <c r="A296" s="2">
        <v>1261103</v>
      </c>
      <c r="B296" s="2" t="s">
        <v>1006</v>
      </c>
      <c r="C296" s="2" t="s">
        <v>224</v>
      </c>
      <c r="D296" s="2" t="s">
        <v>552</v>
      </c>
      <c r="E296" s="2" t="s">
        <v>171</v>
      </c>
      <c r="F296" s="2" t="s">
        <v>295</v>
      </c>
      <c r="H296" s="2">
        <v>8</v>
      </c>
      <c r="I296" s="2">
        <v>6</v>
      </c>
      <c r="J296" s="2">
        <v>6</v>
      </c>
      <c r="L296" s="2" t="s">
        <v>1301</v>
      </c>
      <c r="M296" s="2" t="s">
        <v>1302</v>
      </c>
      <c r="N296" s="2" t="s">
        <v>257</v>
      </c>
    </row>
    <row r="297" spans="1:15" ht="15" customHeight="1" x14ac:dyDescent="0.25">
      <c r="A297" s="2">
        <v>1261201</v>
      </c>
      <c r="B297" s="2" t="s">
        <v>1006</v>
      </c>
      <c r="C297" s="2" t="s">
        <v>224</v>
      </c>
      <c r="D297" s="2" t="s">
        <v>554</v>
      </c>
      <c r="E297" s="2" t="s">
        <v>153</v>
      </c>
      <c r="F297" s="2" t="s">
        <v>299</v>
      </c>
      <c r="H297" s="2">
        <v>6</v>
      </c>
      <c r="L297" s="2" t="s">
        <v>693</v>
      </c>
      <c r="M297" s="2" t="s">
        <v>1303</v>
      </c>
    </row>
    <row r="298" spans="1:15" ht="15" customHeight="1" x14ac:dyDescent="0.25">
      <c r="A298" s="2">
        <v>1261202</v>
      </c>
      <c r="B298" s="2" t="s">
        <v>1006</v>
      </c>
      <c r="C298" s="2" t="s">
        <v>224</v>
      </c>
      <c r="D298" s="2" t="s">
        <v>554</v>
      </c>
      <c r="E298" s="2" t="s">
        <v>128</v>
      </c>
      <c r="F298" s="2" t="s">
        <v>299</v>
      </c>
      <c r="H298" s="2">
        <v>2</v>
      </c>
      <c r="K298" s="2">
        <v>2</v>
      </c>
      <c r="L298" s="2" t="s">
        <v>1919</v>
      </c>
      <c r="M298" s="2" t="s">
        <v>769</v>
      </c>
    </row>
    <row r="299" spans="1:15" ht="15" customHeight="1" x14ac:dyDescent="0.25">
      <c r="A299" s="2">
        <v>1261203</v>
      </c>
      <c r="B299" s="2" t="s">
        <v>1006</v>
      </c>
      <c r="C299" s="2" t="s">
        <v>224</v>
      </c>
      <c r="D299" s="2" t="s">
        <v>554</v>
      </c>
      <c r="E299" s="2" t="s">
        <v>1304</v>
      </c>
      <c r="F299" s="2" t="s">
        <v>295</v>
      </c>
      <c r="H299" s="2">
        <v>6</v>
      </c>
      <c r="I299" s="2">
        <v>4</v>
      </c>
      <c r="J299" s="2">
        <v>4</v>
      </c>
      <c r="L299" s="2" t="s">
        <v>1305</v>
      </c>
    </row>
    <row r="300" spans="1:15" ht="15" customHeight="1" x14ac:dyDescent="0.25">
      <c r="A300" s="2">
        <v>1261204</v>
      </c>
      <c r="B300" s="2" t="s">
        <v>1006</v>
      </c>
      <c r="C300" s="2" t="s">
        <v>224</v>
      </c>
      <c r="D300" s="2" t="s">
        <v>554</v>
      </c>
      <c r="E300" s="2" t="s">
        <v>138</v>
      </c>
      <c r="F300" s="2" t="s">
        <v>295</v>
      </c>
      <c r="H300" s="2">
        <v>4</v>
      </c>
      <c r="I300" s="2">
        <v>1</v>
      </c>
      <c r="J300" s="2">
        <v>3</v>
      </c>
      <c r="L300" s="2" t="s">
        <v>253</v>
      </c>
      <c r="M300" s="2" t="s">
        <v>1015</v>
      </c>
    </row>
    <row r="301" spans="1:15" ht="15" customHeight="1" x14ac:dyDescent="0.25">
      <c r="A301" s="2">
        <v>1261206</v>
      </c>
      <c r="B301" s="2" t="s">
        <v>1006</v>
      </c>
      <c r="C301" s="2" t="s">
        <v>224</v>
      </c>
      <c r="D301" s="2" t="s">
        <v>554</v>
      </c>
      <c r="E301" s="2" t="s">
        <v>168</v>
      </c>
      <c r="F301" s="2" t="s">
        <v>295</v>
      </c>
      <c r="H301" s="2">
        <v>8</v>
      </c>
      <c r="I301" s="2">
        <v>7</v>
      </c>
      <c r="J301" s="2">
        <v>6</v>
      </c>
      <c r="L301" s="2" t="s">
        <v>1306</v>
      </c>
    </row>
    <row r="302" spans="1:15" ht="15" customHeight="1" x14ac:dyDescent="0.25">
      <c r="A302" s="2">
        <v>1261301</v>
      </c>
      <c r="B302" s="2" t="s">
        <v>1006</v>
      </c>
      <c r="C302" s="2" t="s">
        <v>224</v>
      </c>
      <c r="D302" s="2" t="s">
        <v>556</v>
      </c>
      <c r="E302" s="2" t="s">
        <v>1307</v>
      </c>
      <c r="F302" s="2" t="s">
        <v>295</v>
      </c>
      <c r="H302" s="2">
        <v>2</v>
      </c>
      <c r="I302" s="2">
        <v>2</v>
      </c>
      <c r="J302" s="2">
        <v>2</v>
      </c>
      <c r="L302" s="2" t="s">
        <v>1308</v>
      </c>
      <c r="M302" s="2" t="s">
        <v>1309</v>
      </c>
    </row>
    <row r="303" spans="1:15" ht="15" customHeight="1" x14ac:dyDescent="0.25">
      <c r="A303" s="2">
        <v>1261302</v>
      </c>
      <c r="B303" s="2" t="s">
        <v>1006</v>
      </c>
      <c r="C303" s="2" t="s">
        <v>224</v>
      </c>
      <c r="D303" s="2" t="s">
        <v>556</v>
      </c>
      <c r="E303" s="2" t="s">
        <v>123</v>
      </c>
      <c r="F303" s="2" t="s">
        <v>299</v>
      </c>
      <c r="H303" s="2">
        <v>2</v>
      </c>
      <c r="L303" s="2" t="s">
        <v>1310</v>
      </c>
      <c r="M303" s="2" t="s">
        <v>1311</v>
      </c>
    </row>
    <row r="304" spans="1:15" ht="15" customHeight="1" x14ac:dyDescent="0.25">
      <c r="A304" s="2">
        <v>1261303</v>
      </c>
      <c r="B304" s="2" t="s">
        <v>1006</v>
      </c>
      <c r="C304" s="2" t="s">
        <v>224</v>
      </c>
      <c r="D304" s="2" t="s">
        <v>556</v>
      </c>
      <c r="E304" s="2" t="s">
        <v>1312</v>
      </c>
      <c r="F304" s="2" t="s">
        <v>299</v>
      </c>
      <c r="H304" s="2">
        <v>3</v>
      </c>
      <c r="L304" s="2" t="s">
        <v>693</v>
      </c>
      <c r="M304" s="2" t="s">
        <v>1313</v>
      </c>
      <c r="N304" s="2" t="s">
        <v>1314</v>
      </c>
    </row>
    <row r="305" spans="1:14" ht="15" customHeight="1" x14ac:dyDescent="0.25">
      <c r="A305" s="2">
        <v>1261304</v>
      </c>
      <c r="B305" s="2" t="s">
        <v>1006</v>
      </c>
      <c r="C305" s="2" t="s">
        <v>224</v>
      </c>
      <c r="D305" s="2" t="s">
        <v>556</v>
      </c>
      <c r="E305" s="2" t="s">
        <v>1315</v>
      </c>
      <c r="F305" s="2" t="s">
        <v>295</v>
      </c>
      <c r="H305" s="2">
        <v>4</v>
      </c>
      <c r="I305" s="2">
        <v>3</v>
      </c>
      <c r="J305" s="2">
        <v>5</v>
      </c>
      <c r="L305" s="2" t="s">
        <v>1316</v>
      </c>
      <c r="M305" s="2" t="s">
        <v>1317</v>
      </c>
    </row>
    <row r="306" spans="1:14" ht="15" customHeight="1" x14ac:dyDescent="0.25">
      <c r="A306" s="2">
        <v>1261401</v>
      </c>
      <c r="B306" s="2" t="s">
        <v>1006</v>
      </c>
      <c r="C306" s="2" t="s">
        <v>224</v>
      </c>
      <c r="D306" s="2" t="s">
        <v>558</v>
      </c>
      <c r="E306" s="2" t="s">
        <v>117</v>
      </c>
      <c r="F306" s="2" t="s">
        <v>295</v>
      </c>
      <c r="H306" s="2">
        <v>2</v>
      </c>
      <c r="I306" s="2">
        <v>2</v>
      </c>
      <c r="J306" s="2">
        <v>2</v>
      </c>
      <c r="L306" s="2" t="s">
        <v>263</v>
      </c>
      <c r="M306" s="2" t="s">
        <v>1318</v>
      </c>
    </row>
    <row r="307" spans="1:14" ht="15" customHeight="1" x14ac:dyDescent="0.25">
      <c r="A307" s="2">
        <v>1261402</v>
      </c>
      <c r="B307" s="2" t="s">
        <v>1006</v>
      </c>
      <c r="C307" s="2" t="s">
        <v>224</v>
      </c>
      <c r="D307" s="2" t="s">
        <v>558</v>
      </c>
      <c r="E307" s="2" t="s">
        <v>106</v>
      </c>
      <c r="F307" s="2" t="s">
        <v>299</v>
      </c>
      <c r="H307" s="2">
        <v>1</v>
      </c>
      <c r="K307" s="2">
        <v>3</v>
      </c>
      <c r="L307" s="2" t="s">
        <v>890</v>
      </c>
      <c r="M307" s="2" t="s">
        <v>769</v>
      </c>
    </row>
    <row r="308" spans="1:14" ht="15" customHeight="1" x14ac:dyDescent="0.25">
      <c r="A308" s="2">
        <v>1261403</v>
      </c>
      <c r="B308" s="2" t="s">
        <v>1006</v>
      </c>
      <c r="C308" s="2" t="s">
        <v>224</v>
      </c>
      <c r="D308" s="2" t="s">
        <v>558</v>
      </c>
      <c r="E308" s="2" t="s">
        <v>1319</v>
      </c>
      <c r="F308" s="2" t="s">
        <v>295</v>
      </c>
      <c r="H308" s="2">
        <v>3</v>
      </c>
      <c r="I308" s="2">
        <v>2</v>
      </c>
      <c r="J308" s="2">
        <v>2</v>
      </c>
      <c r="L308" s="2" t="s">
        <v>1320</v>
      </c>
      <c r="M308" s="2" t="s">
        <v>1321</v>
      </c>
    </row>
    <row r="309" spans="1:14" ht="15" customHeight="1" x14ac:dyDescent="0.25">
      <c r="A309" s="2">
        <v>1261404</v>
      </c>
      <c r="B309" s="2" t="s">
        <v>1006</v>
      </c>
      <c r="C309" s="2" t="s">
        <v>224</v>
      </c>
      <c r="D309" s="2" t="s">
        <v>558</v>
      </c>
      <c r="E309" s="2" t="s">
        <v>1322</v>
      </c>
      <c r="F309" s="2" t="s">
        <v>295</v>
      </c>
      <c r="H309" s="2">
        <v>3</v>
      </c>
      <c r="I309" s="2">
        <v>2</v>
      </c>
      <c r="J309" s="2">
        <v>1</v>
      </c>
      <c r="L309" s="2" t="s">
        <v>257</v>
      </c>
      <c r="M309" s="2" t="s">
        <v>265</v>
      </c>
    </row>
    <row r="310" spans="1:14" ht="15" customHeight="1" x14ac:dyDescent="0.25">
      <c r="A310" s="2">
        <v>1261405</v>
      </c>
      <c r="B310" s="2" t="s">
        <v>1006</v>
      </c>
      <c r="C310" s="2" t="s">
        <v>224</v>
      </c>
      <c r="D310" s="2" t="s">
        <v>558</v>
      </c>
      <c r="E310" s="2" t="s">
        <v>1323</v>
      </c>
      <c r="F310" s="2" t="s">
        <v>295</v>
      </c>
      <c r="H310" s="2">
        <v>5</v>
      </c>
      <c r="I310" s="2">
        <v>2</v>
      </c>
      <c r="J310" s="2">
        <v>3</v>
      </c>
      <c r="L310" s="2" t="s">
        <v>841</v>
      </c>
      <c r="M310" s="2" t="s">
        <v>1011</v>
      </c>
    </row>
    <row r="311" spans="1:14" ht="15" customHeight="1" x14ac:dyDescent="0.25">
      <c r="A311" s="2">
        <v>1261406</v>
      </c>
      <c r="B311" s="2" t="s">
        <v>1006</v>
      </c>
      <c r="C311" s="2" t="s">
        <v>224</v>
      </c>
      <c r="D311" s="2" t="s">
        <v>558</v>
      </c>
      <c r="E311" s="2" t="s">
        <v>158</v>
      </c>
      <c r="F311" s="2" t="s">
        <v>297</v>
      </c>
      <c r="H311" s="2">
        <v>6</v>
      </c>
      <c r="L311" s="2" t="s">
        <v>981</v>
      </c>
      <c r="M311" s="2" t="s">
        <v>1905</v>
      </c>
    </row>
    <row r="312" spans="1:14" ht="15" customHeight="1" x14ac:dyDescent="0.25">
      <c r="A312" s="2">
        <v>1270101</v>
      </c>
      <c r="B312" s="2" t="s">
        <v>1006</v>
      </c>
      <c r="C312" s="2" t="s">
        <v>193</v>
      </c>
      <c r="D312" s="2" t="s">
        <v>552</v>
      </c>
      <c r="E312" s="2" t="s">
        <v>1324</v>
      </c>
      <c r="F312" s="2" t="s">
        <v>398</v>
      </c>
      <c r="H312" s="2">
        <v>0</v>
      </c>
      <c r="K312" s="2">
        <v>3</v>
      </c>
      <c r="L312" s="2" t="s">
        <v>1325</v>
      </c>
      <c r="M312" s="2" t="s">
        <v>1326</v>
      </c>
    </row>
    <row r="313" spans="1:14" ht="15" customHeight="1" x14ac:dyDescent="0.25">
      <c r="A313" s="2">
        <v>1270103</v>
      </c>
      <c r="B313" s="2" t="s">
        <v>1006</v>
      </c>
      <c r="C313" s="2" t="s">
        <v>193</v>
      </c>
      <c r="D313" s="2" t="s">
        <v>552</v>
      </c>
      <c r="E313" s="2" t="s">
        <v>1327</v>
      </c>
      <c r="F313" s="2" t="s">
        <v>295</v>
      </c>
      <c r="G313" s="2" t="s">
        <v>670</v>
      </c>
      <c r="H313" s="2">
        <v>3</v>
      </c>
      <c r="I313" s="2">
        <v>1</v>
      </c>
      <c r="J313" s="2">
        <v>6</v>
      </c>
      <c r="L313" s="2" t="s">
        <v>257</v>
      </c>
      <c r="M313" s="2" t="s">
        <v>566</v>
      </c>
    </row>
    <row r="314" spans="1:14" ht="15" customHeight="1" x14ac:dyDescent="0.25">
      <c r="A314" s="2">
        <v>1271102</v>
      </c>
      <c r="B314" s="2" t="s">
        <v>1006</v>
      </c>
      <c r="C314" s="2" t="s">
        <v>193</v>
      </c>
      <c r="D314" s="2" t="s">
        <v>552</v>
      </c>
      <c r="E314" s="2" t="s">
        <v>144</v>
      </c>
      <c r="F314" s="2" t="s">
        <v>295</v>
      </c>
      <c r="H314" s="2">
        <v>3</v>
      </c>
      <c r="I314" s="2">
        <v>3</v>
      </c>
      <c r="J314" s="2">
        <v>3</v>
      </c>
      <c r="L314" s="2" t="s">
        <v>892</v>
      </c>
      <c r="M314" s="2" t="s">
        <v>1328</v>
      </c>
    </row>
    <row r="315" spans="1:14" ht="15" customHeight="1" x14ac:dyDescent="0.25">
      <c r="A315" s="2">
        <v>1271103</v>
      </c>
      <c r="B315" s="2" t="s">
        <v>1006</v>
      </c>
      <c r="C315" s="2" t="s">
        <v>193</v>
      </c>
      <c r="D315" s="2" t="s">
        <v>552</v>
      </c>
      <c r="E315" s="2" t="s">
        <v>1329</v>
      </c>
      <c r="F315" s="2" t="s">
        <v>295</v>
      </c>
      <c r="H315" s="2">
        <v>8</v>
      </c>
      <c r="I315" s="2">
        <v>5</v>
      </c>
      <c r="J315" s="2">
        <v>5</v>
      </c>
      <c r="L315" s="2" t="s">
        <v>1330</v>
      </c>
      <c r="M315" s="2" t="s">
        <v>1331</v>
      </c>
      <c r="N315" s="2" t="s">
        <v>1332</v>
      </c>
    </row>
    <row r="316" spans="1:14" ht="15" customHeight="1" x14ac:dyDescent="0.25">
      <c r="A316" s="2">
        <v>1271104</v>
      </c>
      <c r="B316" s="2" t="s">
        <v>1006</v>
      </c>
      <c r="C316" s="2" t="s">
        <v>193</v>
      </c>
      <c r="D316" s="2" t="s">
        <v>552</v>
      </c>
      <c r="E316" s="2" t="s">
        <v>1333</v>
      </c>
      <c r="F316" s="2" t="s">
        <v>295</v>
      </c>
      <c r="H316" s="2">
        <v>8</v>
      </c>
      <c r="I316" s="2">
        <v>2</v>
      </c>
      <c r="J316" s="2">
        <v>2</v>
      </c>
      <c r="L316" s="2" t="s">
        <v>1334</v>
      </c>
      <c r="M316" s="2" t="s">
        <v>1335</v>
      </c>
    </row>
    <row r="317" spans="1:14" ht="15" customHeight="1" x14ac:dyDescent="0.25">
      <c r="A317" s="2">
        <v>1271201</v>
      </c>
      <c r="B317" s="2" t="s">
        <v>1006</v>
      </c>
      <c r="C317" s="2" t="s">
        <v>193</v>
      </c>
      <c r="D317" s="2" t="s">
        <v>554</v>
      </c>
      <c r="E317" s="2" t="s">
        <v>1336</v>
      </c>
      <c r="F317" s="2" t="s">
        <v>295</v>
      </c>
      <c r="H317" s="2">
        <v>3</v>
      </c>
      <c r="I317" s="2">
        <v>2</v>
      </c>
      <c r="J317" s="2">
        <v>3</v>
      </c>
      <c r="L317" s="2" t="s">
        <v>800</v>
      </c>
      <c r="M317" s="2" t="s">
        <v>796</v>
      </c>
      <c r="N317" s="2" t="s">
        <v>692</v>
      </c>
    </row>
    <row r="318" spans="1:14" ht="15" customHeight="1" x14ac:dyDescent="0.25">
      <c r="A318" s="2">
        <v>1271202</v>
      </c>
      <c r="B318" s="2" t="s">
        <v>1006</v>
      </c>
      <c r="C318" s="2" t="s">
        <v>193</v>
      </c>
      <c r="D318" s="2" t="s">
        <v>554</v>
      </c>
      <c r="E318" s="2" t="s">
        <v>164</v>
      </c>
      <c r="F318" s="2" t="s">
        <v>295</v>
      </c>
      <c r="H318" s="2">
        <v>6</v>
      </c>
      <c r="I318" s="2">
        <v>5</v>
      </c>
      <c r="J318" s="2">
        <v>5</v>
      </c>
      <c r="L318" s="2" t="s">
        <v>1337</v>
      </c>
      <c r="M318" s="2" t="s">
        <v>1338</v>
      </c>
    </row>
    <row r="319" spans="1:14" ht="15" customHeight="1" x14ac:dyDescent="0.25">
      <c r="A319" s="2">
        <v>1271203</v>
      </c>
      <c r="B319" s="2" t="s">
        <v>1006</v>
      </c>
      <c r="C319" s="2" t="s">
        <v>193</v>
      </c>
      <c r="D319" s="2" t="s">
        <v>554</v>
      </c>
      <c r="E319" s="2" t="s">
        <v>1339</v>
      </c>
      <c r="F319" s="2" t="s">
        <v>295</v>
      </c>
      <c r="H319" s="2">
        <v>5</v>
      </c>
      <c r="I319" s="2">
        <v>2</v>
      </c>
      <c r="J319" s="2">
        <v>4</v>
      </c>
      <c r="L319" s="2" t="s">
        <v>800</v>
      </c>
      <c r="M319" s="2" t="s">
        <v>796</v>
      </c>
      <c r="N319" s="2" t="s">
        <v>1340</v>
      </c>
    </row>
    <row r="320" spans="1:14" ht="15" customHeight="1" x14ac:dyDescent="0.25">
      <c r="A320" s="2">
        <v>1271204</v>
      </c>
      <c r="B320" s="2" t="s">
        <v>1006</v>
      </c>
      <c r="C320" s="2" t="s">
        <v>193</v>
      </c>
      <c r="D320" s="2" t="s">
        <v>554</v>
      </c>
      <c r="E320" s="2" t="s">
        <v>1341</v>
      </c>
      <c r="F320" s="2" t="s">
        <v>295</v>
      </c>
      <c r="H320" s="2">
        <v>10</v>
      </c>
      <c r="I320" s="2">
        <v>8</v>
      </c>
      <c r="J320" s="2">
        <v>8</v>
      </c>
      <c r="L320" s="2" t="s">
        <v>1342</v>
      </c>
      <c r="M320" s="2" t="s">
        <v>1343</v>
      </c>
    </row>
    <row r="321" spans="1:14" ht="15" customHeight="1" x14ac:dyDescent="0.25">
      <c r="A321" s="2">
        <v>1271205</v>
      </c>
      <c r="B321" s="2" t="s">
        <v>1006</v>
      </c>
      <c r="C321" s="2" t="s">
        <v>193</v>
      </c>
      <c r="D321" s="2" t="s">
        <v>554</v>
      </c>
      <c r="E321" s="2" t="s">
        <v>1344</v>
      </c>
      <c r="F321" s="2" t="s">
        <v>299</v>
      </c>
      <c r="H321" s="2">
        <v>5</v>
      </c>
      <c r="L321" s="2" t="s">
        <v>800</v>
      </c>
      <c r="M321" s="2" t="s">
        <v>1345</v>
      </c>
    </row>
    <row r="322" spans="1:14" ht="15" customHeight="1" x14ac:dyDescent="0.25">
      <c r="A322" s="2">
        <v>1271301</v>
      </c>
      <c r="B322" s="2" t="s">
        <v>1006</v>
      </c>
      <c r="C322" s="2" t="s">
        <v>193</v>
      </c>
      <c r="D322" s="2" t="s">
        <v>556</v>
      </c>
      <c r="E322" s="2" t="s">
        <v>119</v>
      </c>
      <c r="F322" s="2" t="s">
        <v>295</v>
      </c>
      <c r="H322" s="2">
        <v>2</v>
      </c>
      <c r="I322" s="2">
        <v>2</v>
      </c>
      <c r="J322" s="2">
        <v>2</v>
      </c>
      <c r="L322" s="2" t="s">
        <v>1346</v>
      </c>
      <c r="M322" s="2" t="s">
        <v>692</v>
      </c>
    </row>
    <row r="323" spans="1:14" ht="15" customHeight="1" x14ac:dyDescent="0.25">
      <c r="A323" s="2">
        <v>1271302</v>
      </c>
      <c r="B323" s="2" t="s">
        <v>1006</v>
      </c>
      <c r="C323" s="2" t="s">
        <v>193</v>
      </c>
      <c r="D323" s="2" t="s">
        <v>556</v>
      </c>
      <c r="E323" s="2" t="s">
        <v>1347</v>
      </c>
      <c r="F323" s="2" t="s">
        <v>297</v>
      </c>
      <c r="H323" s="2">
        <v>2</v>
      </c>
      <c r="L323" s="2" t="s">
        <v>1348</v>
      </c>
      <c r="M323" s="2" t="s">
        <v>804</v>
      </c>
    </row>
    <row r="324" spans="1:14" ht="15" customHeight="1" x14ac:dyDescent="0.25">
      <c r="A324" s="2">
        <v>1271303</v>
      </c>
      <c r="B324" s="2" t="s">
        <v>1006</v>
      </c>
      <c r="C324" s="2" t="s">
        <v>193</v>
      </c>
      <c r="D324" s="2" t="s">
        <v>556</v>
      </c>
      <c r="E324" s="2" t="s">
        <v>1349</v>
      </c>
      <c r="F324" s="2" t="s">
        <v>295</v>
      </c>
      <c r="H324" s="2">
        <v>4</v>
      </c>
      <c r="I324" s="2">
        <v>3</v>
      </c>
      <c r="J324" s="2">
        <v>3</v>
      </c>
      <c r="L324" s="2" t="s">
        <v>800</v>
      </c>
      <c r="M324" s="2" t="s">
        <v>796</v>
      </c>
      <c r="N324" s="2" t="s">
        <v>1350</v>
      </c>
    </row>
    <row r="325" spans="1:14" ht="15" customHeight="1" x14ac:dyDescent="0.25">
      <c r="A325" s="2">
        <v>1271304</v>
      </c>
      <c r="B325" s="2" t="s">
        <v>1006</v>
      </c>
      <c r="C325" s="2" t="s">
        <v>193</v>
      </c>
      <c r="D325" s="2" t="s">
        <v>556</v>
      </c>
      <c r="E325" s="2" t="s">
        <v>1351</v>
      </c>
      <c r="F325" s="2" t="s">
        <v>297</v>
      </c>
      <c r="H325" s="2">
        <v>5</v>
      </c>
      <c r="L325" s="2" t="s">
        <v>1352</v>
      </c>
    </row>
    <row r="326" spans="1:14" ht="15" customHeight="1" x14ac:dyDescent="0.25">
      <c r="A326" s="2">
        <v>1271305</v>
      </c>
      <c r="B326" s="2" t="s">
        <v>1006</v>
      </c>
      <c r="C326" s="2" t="s">
        <v>193</v>
      </c>
      <c r="D326" s="2" t="s">
        <v>556</v>
      </c>
      <c r="E326" s="2" t="s">
        <v>1353</v>
      </c>
      <c r="F326" s="2" t="s">
        <v>295</v>
      </c>
      <c r="H326" s="2">
        <v>6</v>
      </c>
      <c r="I326" s="2">
        <v>5</v>
      </c>
      <c r="J326" s="2">
        <v>6</v>
      </c>
      <c r="L326" s="2" t="s">
        <v>1354</v>
      </c>
      <c r="M326" s="2" t="s">
        <v>1355</v>
      </c>
    </row>
    <row r="327" spans="1:14" ht="15" customHeight="1" x14ac:dyDescent="0.25">
      <c r="A327" s="2">
        <v>1271401</v>
      </c>
      <c r="B327" s="2" t="s">
        <v>1006</v>
      </c>
      <c r="C327" s="2" t="s">
        <v>193</v>
      </c>
      <c r="D327" s="2" t="s">
        <v>558</v>
      </c>
      <c r="E327" s="2" t="s">
        <v>1356</v>
      </c>
      <c r="F327" s="2" t="s">
        <v>295</v>
      </c>
      <c r="H327" s="2">
        <v>1</v>
      </c>
      <c r="I327" s="2">
        <v>1</v>
      </c>
      <c r="J327" s="2">
        <v>1</v>
      </c>
      <c r="L327" s="2" t="s">
        <v>1357</v>
      </c>
    </row>
    <row r="328" spans="1:14" ht="15" customHeight="1" x14ac:dyDescent="0.25">
      <c r="A328" s="2">
        <v>1271402</v>
      </c>
      <c r="B328" s="2" t="s">
        <v>1006</v>
      </c>
      <c r="C328" s="2" t="s">
        <v>193</v>
      </c>
      <c r="D328" s="2" t="s">
        <v>558</v>
      </c>
      <c r="E328" s="2" t="s">
        <v>1358</v>
      </c>
      <c r="F328" s="2" t="s">
        <v>297</v>
      </c>
      <c r="H328" s="2">
        <v>1</v>
      </c>
      <c r="L328" s="2" t="s">
        <v>803</v>
      </c>
      <c r="M328" s="2" t="s">
        <v>804</v>
      </c>
    </row>
    <row r="329" spans="1:14" ht="15" customHeight="1" x14ac:dyDescent="0.25">
      <c r="A329" s="2">
        <v>1271403</v>
      </c>
      <c r="B329" s="2" t="s">
        <v>1006</v>
      </c>
      <c r="C329" s="2" t="s">
        <v>193</v>
      </c>
      <c r="D329" s="2" t="s">
        <v>558</v>
      </c>
      <c r="E329" s="2" t="s">
        <v>1359</v>
      </c>
      <c r="F329" s="2" t="s">
        <v>295</v>
      </c>
      <c r="H329" s="2">
        <v>2</v>
      </c>
      <c r="I329" s="2">
        <v>2</v>
      </c>
      <c r="J329" s="2">
        <v>2</v>
      </c>
      <c r="L329" s="2" t="s">
        <v>800</v>
      </c>
      <c r="M329" s="2" t="s">
        <v>1144</v>
      </c>
    </row>
    <row r="330" spans="1:14" ht="15" customHeight="1" x14ac:dyDescent="0.25">
      <c r="A330" s="2">
        <v>1271405</v>
      </c>
      <c r="B330" s="2" t="s">
        <v>1006</v>
      </c>
      <c r="C330" s="2" t="s">
        <v>193</v>
      </c>
      <c r="D330" s="2" t="s">
        <v>558</v>
      </c>
      <c r="E330" s="2" t="s">
        <v>1360</v>
      </c>
      <c r="F330" s="2" t="s">
        <v>297</v>
      </c>
      <c r="H330" s="2">
        <v>3</v>
      </c>
      <c r="L330" s="2" t="s">
        <v>1361</v>
      </c>
    </row>
    <row r="331" spans="1:14" ht="15" customHeight="1" x14ac:dyDescent="0.25">
      <c r="A331" s="2">
        <v>1271406</v>
      </c>
      <c r="B331" s="2" t="s">
        <v>1006</v>
      </c>
      <c r="C331" s="2" t="s">
        <v>193</v>
      </c>
      <c r="D331" s="2" t="s">
        <v>558</v>
      </c>
      <c r="E331" s="2" t="s">
        <v>1362</v>
      </c>
      <c r="F331" s="2" t="s">
        <v>295</v>
      </c>
      <c r="H331" s="2">
        <v>5</v>
      </c>
      <c r="I331" s="2">
        <v>5</v>
      </c>
      <c r="J331" s="2">
        <v>5</v>
      </c>
      <c r="L331" s="2" t="s">
        <v>1363</v>
      </c>
    </row>
    <row r="332" spans="1:14" ht="15" customHeight="1" x14ac:dyDescent="0.25">
      <c r="A332" s="2">
        <v>1271407</v>
      </c>
      <c r="B332" s="2" t="s">
        <v>1006</v>
      </c>
      <c r="C332" s="2" t="s">
        <v>193</v>
      </c>
      <c r="D332" s="2" t="s">
        <v>558</v>
      </c>
      <c r="E332" s="2" t="s">
        <v>1364</v>
      </c>
      <c r="F332" s="2" t="s">
        <v>295</v>
      </c>
      <c r="H332" s="2">
        <v>3</v>
      </c>
      <c r="I332" s="2">
        <v>2</v>
      </c>
      <c r="J332" s="2">
        <v>2</v>
      </c>
      <c r="L332" s="2" t="s">
        <v>1365</v>
      </c>
      <c r="M332" s="2" t="s">
        <v>1366</v>
      </c>
    </row>
    <row r="333" spans="1:14" ht="15" customHeight="1" x14ac:dyDescent="0.25">
      <c r="A333" s="2">
        <v>1301102</v>
      </c>
      <c r="B333" s="2" t="s">
        <v>1367</v>
      </c>
      <c r="C333" s="2" t="s">
        <v>225</v>
      </c>
      <c r="D333" s="2" t="s">
        <v>552</v>
      </c>
      <c r="E333" s="2" t="s">
        <v>169</v>
      </c>
      <c r="F333" s="2" t="s">
        <v>295</v>
      </c>
      <c r="H333" s="2">
        <v>7</v>
      </c>
      <c r="I333" s="2">
        <v>4</v>
      </c>
      <c r="J333" s="2">
        <v>2</v>
      </c>
      <c r="L333" s="2" t="s">
        <v>1368</v>
      </c>
      <c r="M333" s="2" t="s">
        <v>251</v>
      </c>
    </row>
    <row r="334" spans="1:14" ht="15" customHeight="1" x14ac:dyDescent="0.25">
      <c r="A334" s="2">
        <v>1301103</v>
      </c>
      <c r="B334" s="2" t="s">
        <v>1367</v>
      </c>
      <c r="C334" s="2" t="s">
        <v>225</v>
      </c>
      <c r="D334" s="2" t="s">
        <v>552</v>
      </c>
      <c r="E334" s="2" t="s">
        <v>131</v>
      </c>
      <c r="F334" s="2" t="s">
        <v>295</v>
      </c>
      <c r="H334" s="2">
        <v>3</v>
      </c>
      <c r="I334" s="2">
        <v>2</v>
      </c>
      <c r="J334" s="2">
        <v>3</v>
      </c>
      <c r="L334" s="2" t="s">
        <v>1369</v>
      </c>
      <c r="M334" s="2" t="s">
        <v>257</v>
      </c>
    </row>
    <row r="335" spans="1:14" ht="15" customHeight="1" x14ac:dyDescent="0.25">
      <c r="A335" s="2">
        <v>1301201</v>
      </c>
      <c r="B335" s="2" t="s">
        <v>1367</v>
      </c>
      <c r="C335" s="2" t="s">
        <v>225</v>
      </c>
      <c r="D335" s="2" t="s">
        <v>554</v>
      </c>
      <c r="E335" s="2" t="s">
        <v>1370</v>
      </c>
      <c r="F335" s="2" t="s">
        <v>295</v>
      </c>
      <c r="H335" s="2">
        <v>2</v>
      </c>
      <c r="I335" s="2">
        <v>2</v>
      </c>
      <c r="J335" s="2">
        <v>2</v>
      </c>
      <c r="L335" s="2" t="s">
        <v>1371</v>
      </c>
      <c r="M335" s="2" t="s">
        <v>1372</v>
      </c>
    </row>
    <row r="336" spans="1:14" ht="15" customHeight="1" x14ac:dyDescent="0.25">
      <c r="A336" s="2">
        <v>1301202</v>
      </c>
      <c r="B336" s="2" t="s">
        <v>1367</v>
      </c>
      <c r="C336" s="2" t="s">
        <v>225</v>
      </c>
      <c r="D336" s="2" t="s">
        <v>554</v>
      </c>
      <c r="E336" s="2" t="s">
        <v>1373</v>
      </c>
      <c r="F336" s="2" t="s">
        <v>295</v>
      </c>
      <c r="H336" s="2">
        <v>7</v>
      </c>
      <c r="I336" s="2">
        <v>5</v>
      </c>
      <c r="J336" s="2">
        <v>5</v>
      </c>
      <c r="L336" s="2" t="s">
        <v>1374</v>
      </c>
    </row>
    <row r="337" spans="1:14" ht="15" customHeight="1" x14ac:dyDescent="0.25">
      <c r="A337" s="2">
        <v>1301301</v>
      </c>
      <c r="B337" s="2" t="s">
        <v>1367</v>
      </c>
      <c r="C337" s="2" t="s">
        <v>225</v>
      </c>
      <c r="D337" s="2" t="s">
        <v>556</v>
      </c>
      <c r="E337" s="2" t="s">
        <v>1375</v>
      </c>
      <c r="F337" s="2" t="s">
        <v>295</v>
      </c>
      <c r="H337" s="2">
        <v>2</v>
      </c>
      <c r="I337" s="2">
        <v>2</v>
      </c>
      <c r="J337" s="2">
        <v>2</v>
      </c>
      <c r="L337" s="2" t="s">
        <v>1376</v>
      </c>
      <c r="M337" s="2" t="s">
        <v>257</v>
      </c>
    </row>
    <row r="338" spans="1:14" ht="15" customHeight="1" x14ac:dyDescent="0.25">
      <c r="A338" s="2">
        <v>1301401</v>
      </c>
      <c r="B338" s="2" t="s">
        <v>1367</v>
      </c>
      <c r="C338" s="2" t="s">
        <v>225</v>
      </c>
      <c r="D338" s="2" t="s">
        <v>558</v>
      </c>
      <c r="E338" s="2" t="s">
        <v>1377</v>
      </c>
      <c r="F338" s="2" t="s">
        <v>295</v>
      </c>
      <c r="H338" s="2">
        <v>1</v>
      </c>
      <c r="I338" s="2">
        <v>1</v>
      </c>
      <c r="J338" s="2">
        <v>1</v>
      </c>
      <c r="L338" s="2" t="s">
        <v>1378</v>
      </c>
    </row>
    <row r="339" spans="1:14" ht="15" customHeight="1" x14ac:dyDescent="0.25">
      <c r="A339" s="2">
        <v>1301402</v>
      </c>
      <c r="B339" s="2" t="s">
        <v>1367</v>
      </c>
      <c r="C339" s="2" t="s">
        <v>225</v>
      </c>
      <c r="D339" s="2" t="s">
        <v>558</v>
      </c>
      <c r="E339" s="2" t="s">
        <v>1379</v>
      </c>
      <c r="F339" s="2" t="s">
        <v>297</v>
      </c>
      <c r="H339" s="2">
        <v>2</v>
      </c>
      <c r="L339" s="2" t="s">
        <v>1380</v>
      </c>
    </row>
    <row r="340" spans="1:14" ht="15" customHeight="1" x14ac:dyDescent="0.25">
      <c r="A340" s="2">
        <v>1310101</v>
      </c>
      <c r="B340" s="2" t="s">
        <v>1367</v>
      </c>
      <c r="C340" s="2" t="s">
        <v>216</v>
      </c>
      <c r="D340" s="2" t="s">
        <v>552</v>
      </c>
      <c r="E340" s="2" t="s">
        <v>1381</v>
      </c>
      <c r="F340" s="2" t="s">
        <v>398</v>
      </c>
      <c r="H340" s="2">
        <v>0</v>
      </c>
      <c r="L340" s="2" t="s">
        <v>1382</v>
      </c>
    </row>
    <row r="341" spans="1:14" ht="15" customHeight="1" x14ac:dyDescent="0.25">
      <c r="A341" s="2">
        <v>1311101</v>
      </c>
      <c r="B341" s="2" t="s">
        <v>1367</v>
      </c>
      <c r="C341" s="2" t="s">
        <v>216</v>
      </c>
      <c r="D341" s="2" t="s">
        <v>552</v>
      </c>
      <c r="E341" s="2" t="s">
        <v>1383</v>
      </c>
      <c r="F341" s="2" t="s">
        <v>295</v>
      </c>
      <c r="H341" s="2">
        <v>4</v>
      </c>
      <c r="I341" s="2">
        <v>2</v>
      </c>
      <c r="J341" s="2">
        <v>2</v>
      </c>
      <c r="L341" s="2" t="s">
        <v>1070</v>
      </c>
      <c r="M341" s="2" t="s">
        <v>1384</v>
      </c>
      <c r="N341" s="2" t="s">
        <v>1385</v>
      </c>
    </row>
    <row r="342" spans="1:14" ht="15" customHeight="1" x14ac:dyDescent="0.25">
      <c r="A342" s="2">
        <v>1311103</v>
      </c>
      <c r="B342" s="2" t="s">
        <v>1367</v>
      </c>
      <c r="C342" s="2" t="s">
        <v>216</v>
      </c>
      <c r="D342" s="2" t="s">
        <v>552</v>
      </c>
      <c r="E342" s="2" t="s">
        <v>1386</v>
      </c>
      <c r="F342" s="2" t="s">
        <v>295</v>
      </c>
      <c r="H342" s="2">
        <v>7</v>
      </c>
      <c r="I342" s="2">
        <v>7</v>
      </c>
      <c r="J342" s="2">
        <v>7</v>
      </c>
      <c r="L342" s="2" t="s">
        <v>2418</v>
      </c>
      <c r="M342" s="2" t="s">
        <v>1387</v>
      </c>
    </row>
    <row r="343" spans="1:14" ht="15" customHeight="1" x14ac:dyDescent="0.25">
      <c r="A343" s="2">
        <v>1311201</v>
      </c>
      <c r="B343" s="2" t="s">
        <v>1367</v>
      </c>
      <c r="C343" s="2" t="s">
        <v>216</v>
      </c>
      <c r="D343" s="2" t="s">
        <v>554</v>
      </c>
      <c r="E343" s="2" t="s">
        <v>1388</v>
      </c>
      <c r="F343" s="2" t="s">
        <v>295</v>
      </c>
      <c r="H343" s="2">
        <v>4</v>
      </c>
      <c r="I343" s="2">
        <v>4</v>
      </c>
      <c r="J343" s="2">
        <v>3</v>
      </c>
      <c r="L343" s="2" t="s">
        <v>1389</v>
      </c>
      <c r="M343" s="2" t="s">
        <v>1390</v>
      </c>
    </row>
    <row r="344" spans="1:14" ht="15" customHeight="1" x14ac:dyDescent="0.25">
      <c r="A344" s="2">
        <v>1311202</v>
      </c>
      <c r="B344" s="2" t="s">
        <v>1367</v>
      </c>
      <c r="C344" s="2" t="s">
        <v>216</v>
      </c>
      <c r="D344" s="2" t="s">
        <v>554</v>
      </c>
      <c r="E344" s="2" t="s">
        <v>1391</v>
      </c>
      <c r="F344" s="2" t="s">
        <v>297</v>
      </c>
      <c r="H344" s="2">
        <v>2</v>
      </c>
      <c r="L344" s="2" t="s">
        <v>1392</v>
      </c>
      <c r="M344" s="2" t="s">
        <v>1393</v>
      </c>
    </row>
    <row r="345" spans="1:14" ht="15" customHeight="1" x14ac:dyDescent="0.25">
      <c r="A345" s="2">
        <v>1311301</v>
      </c>
      <c r="B345" s="2" t="s">
        <v>1367</v>
      </c>
      <c r="C345" s="2" t="s">
        <v>216</v>
      </c>
      <c r="D345" s="2" t="s">
        <v>556</v>
      </c>
      <c r="E345" s="2" t="s">
        <v>1394</v>
      </c>
      <c r="F345" s="2" t="s">
        <v>297</v>
      </c>
      <c r="H345" s="2">
        <v>1</v>
      </c>
      <c r="L345" s="2" t="s">
        <v>1395</v>
      </c>
    </row>
    <row r="346" spans="1:14" ht="15" customHeight="1" x14ac:dyDescent="0.25">
      <c r="A346" s="2">
        <v>1311302</v>
      </c>
      <c r="B346" s="2" t="s">
        <v>1367</v>
      </c>
      <c r="C346" s="2" t="s">
        <v>216</v>
      </c>
      <c r="D346" s="2" t="s">
        <v>556</v>
      </c>
      <c r="E346" s="2" t="s">
        <v>1396</v>
      </c>
      <c r="F346" s="2" t="s">
        <v>295</v>
      </c>
      <c r="H346" s="2">
        <v>2</v>
      </c>
      <c r="I346" s="2">
        <v>2</v>
      </c>
      <c r="J346" s="2">
        <v>2</v>
      </c>
      <c r="L346" s="2" t="s">
        <v>1397</v>
      </c>
    </row>
    <row r="347" spans="1:14" ht="15" customHeight="1" x14ac:dyDescent="0.25">
      <c r="A347" s="2">
        <v>1311303</v>
      </c>
      <c r="B347" s="2" t="s">
        <v>1367</v>
      </c>
      <c r="C347" s="2" t="s">
        <v>216</v>
      </c>
      <c r="D347" s="2" t="s">
        <v>556</v>
      </c>
      <c r="E347" s="2" t="s">
        <v>1398</v>
      </c>
      <c r="F347" s="2" t="s">
        <v>295</v>
      </c>
      <c r="H347" s="2">
        <v>6</v>
      </c>
      <c r="I347" s="2">
        <v>6</v>
      </c>
      <c r="J347" s="2">
        <v>6</v>
      </c>
      <c r="L347" s="2" t="s">
        <v>1399</v>
      </c>
      <c r="M347" s="2" t="s">
        <v>257</v>
      </c>
    </row>
    <row r="348" spans="1:14" ht="15" customHeight="1" x14ac:dyDescent="0.25">
      <c r="A348" s="2">
        <v>1311401</v>
      </c>
      <c r="B348" s="2" t="s">
        <v>1367</v>
      </c>
      <c r="C348" s="2" t="s">
        <v>216</v>
      </c>
      <c r="D348" s="2" t="s">
        <v>558</v>
      </c>
      <c r="E348" s="2" t="s">
        <v>1400</v>
      </c>
      <c r="F348" s="2" t="s">
        <v>295</v>
      </c>
      <c r="H348" s="2">
        <v>3</v>
      </c>
      <c r="I348" s="2">
        <v>3</v>
      </c>
      <c r="J348" s="2">
        <v>3</v>
      </c>
      <c r="L348" s="2" t="s">
        <v>249</v>
      </c>
    </row>
    <row r="349" spans="1:14" ht="15" customHeight="1" x14ac:dyDescent="0.25">
      <c r="A349" s="2">
        <v>1311402</v>
      </c>
      <c r="B349" s="2" t="s">
        <v>1367</v>
      </c>
      <c r="C349" s="2" t="s">
        <v>216</v>
      </c>
      <c r="D349" s="2" t="s">
        <v>558</v>
      </c>
      <c r="E349" s="2" t="s">
        <v>1401</v>
      </c>
      <c r="F349" s="2" t="s">
        <v>295</v>
      </c>
      <c r="H349" s="2">
        <v>5</v>
      </c>
      <c r="I349" s="2">
        <v>5</v>
      </c>
      <c r="J349" s="2">
        <v>5</v>
      </c>
      <c r="L349" s="2" t="s">
        <v>1402</v>
      </c>
    </row>
    <row r="350" spans="1:14" ht="15" customHeight="1" x14ac:dyDescent="0.25">
      <c r="A350" s="2">
        <v>1311403</v>
      </c>
      <c r="B350" s="2" t="s">
        <v>1367</v>
      </c>
      <c r="C350" s="2" t="s">
        <v>216</v>
      </c>
      <c r="D350" s="2" t="s">
        <v>558</v>
      </c>
      <c r="E350" s="2" t="s">
        <v>1403</v>
      </c>
      <c r="F350" s="2" t="s">
        <v>297</v>
      </c>
      <c r="H350" s="2">
        <v>7</v>
      </c>
      <c r="L350" s="2" t="s">
        <v>1404</v>
      </c>
    </row>
    <row r="351" spans="1:14" ht="15" customHeight="1" x14ac:dyDescent="0.25">
      <c r="A351" s="2">
        <v>1320201</v>
      </c>
      <c r="B351" s="2" t="s">
        <v>1367</v>
      </c>
      <c r="C351" s="2" t="s">
        <v>218</v>
      </c>
      <c r="D351" s="2" t="s">
        <v>554</v>
      </c>
      <c r="E351" s="2" t="s">
        <v>1405</v>
      </c>
      <c r="F351" s="2" t="s">
        <v>295</v>
      </c>
      <c r="G351" s="2" t="s">
        <v>667</v>
      </c>
      <c r="H351" s="2">
        <v>2</v>
      </c>
      <c r="I351" s="2">
        <v>2</v>
      </c>
      <c r="J351" s="2">
        <v>2</v>
      </c>
      <c r="L351" s="2" t="s">
        <v>1406</v>
      </c>
    </row>
    <row r="352" spans="1:14" ht="15" customHeight="1" x14ac:dyDescent="0.25">
      <c r="A352" s="2">
        <v>1321101</v>
      </c>
      <c r="B352" s="2" t="s">
        <v>1367</v>
      </c>
      <c r="C352" s="2" t="s">
        <v>218</v>
      </c>
      <c r="D352" s="2" t="s">
        <v>552</v>
      </c>
      <c r="E352" s="2" t="s">
        <v>1407</v>
      </c>
      <c r="F352" s="2" t="s">
        <v>295</v>
      </c>
      <c r="G352" s="2" t="s">
        <v>678</v>
      </c>
      <c r="H352" s="2">
        <v>6</v>
      </c>
      <c r="I352" s="2">
        <v>4</v>
      </c>
      <c r="J352" s="2">
        <v>4</v>
      </c>
      <c r="L352" s="2" t="s">
        <v>1408</v>
      </c>
      <c r="M352" s="2" t="s">
        <v>1409</v>
      </c>
      <c r="N352" s="2" t="s">
        <v>1410</v>
      </c>
    </row>
    <row r="353" spans="1:15" ht="15" customHeight="1" x14ac:dyDescent="0.25">
      <c r="A353" s="2">
        <v>1321102</v>
      </c>
      <c r="B353" s="2" t="s">
        <v>1367</v>
      </c>
      <c r="C353" s="2" t="s">
        <v>218</v>
      </c>
      <c r="D353" s="2" t="s">
        <v>552</v>
      </c>
      <c r="E353" s="2" t="s">
        <v>1411</v>
      </c>
      <c r="F353" s="2" t="s">
        <v>295</v>
      </c>
      <c r="G353" s="2" t="s">
        <v>673</v>
      </c>
      <c r="H353" s="2">
        <v>8</v>
      </c>
      <c r="I353" s="2">
        <v>5</v>
      </c>
      <c r="J353" s="2">
        <v>7</v>
      </c>
      <c r="L353" s="2" t="s">
        <v>1412</v>
      </c>
      <c r="M353" s="2" t="s">
        <v>2417</v>
      </c>
      <c r="N353" s="2" t="s">
        <v>1413</v>
      </c>
      <c r="O353" s="2" t="s">
        <v>1414</v>
      </c>
    </row>
    <row r="354" spans="1:15" ht="15" customHeight="1" x14ac:dyDescent="0.25">
      <c r="A354" s="2">
        <v>1321202</v>
      </c>
      <c r="B354" s="2" t="s">
        <v>1367</v>
      </c>
      <c r="C354" s="2" t="s">
        <v>218</v>
      </c>
      <c r="D354" s="2" t="s">
        <v>554</v>
      </c>
      <c r="E354" s="2" t="s">
        <v>1415</v>
      </c>
      <c r="F354" s="2" t="s">
        <v>295</v>
      </c>
      <c r="H354" s="2">
        <v>2</v>
      </c>
      <c r="I354" s="2">
        <v>1</v>
      </c>
      <c r="J354" s="2">
        <v>1</v>
      </c>
      <c r="L354" s="2" t="s">
        <v>1416</v>
      </c>
      <c r="M354" s="2" t="s">
        <v>253</v>
      </c>
      <c r="N354" s="2" t="s">
        <v>1417</v>
      </c>
    </row>
    <row r="355" spans="1:15" ht="15" customHeight="1" x14ac:dyDescent="0.25">
      <c r="A355" s="2">
        <v>1321203</v>
      </c>
      <c r="B355" s="2" t="s">
        <v>1367</v>
      </c>
      <c r="C355" s="2" t="s">
        <v>218</v>
      </c>
      <c r="D355" s="2" t="s">
        <v>554</v>
      </c>
      <c r="E355" s="2" t="s">
        <v>1418</v>
      </c>
      <c r="F355" s="2" t="s">
        <v>295</v>
      </c>
      <c r="H355" s="2">
        <v>3</v>
      </c>
      <c r="I355" s="2">
        <v>3</v>
      </c>
      <c r="J355" s="2">
        <v>2</v>
      </c>
      <c r="L355" s="2" t="s">
        <v>1419</v>
      </c>
      <c r="M355" s="2" t="s">
        <v>249</v>
      </c>
      <c r="N355" s="2" t="s">
        <v>1420</v>
      </c>
    </row>
    <row r="356" spans="1:15" ht="15" customHeight="1" x14ac:dyDescent="0.25">
      <c r="A356" s="2">
        <v>1321301</v>
      </c>
      <c r="B356" s="2" t="s">
        <v>1367</v>
      </c>
      <c r="C356" s="2" t="s">
        <v>218</v>
      </c>
      <c r="D356" s="2" t="s">
        <v>556</v>
      </c>
      <c r="E356" s="2" t="s">
        <v>1421</v>
      </c>
      <c r="F356" s="2" t="s">
        <v>295</v>
      </c>
      <c r="H356" s="2">
        <v>4</v>
      </c>
      <c r="I356" s="2">
        <v>3</v>
      </c>
      <c r="J356" s="2">
        <v>3</v>
      </c>
      <c r="L356" s="2" t="s">
        <v>1422</v>
      </c>
      <c r="M356" s="2" t="s">
        <v>1423</v>
      </c>
    </row>
    <row r="357" spans="1:15" ht="15" customHeight="1" x14ac:dyDescent="0.25">
      <c r="A357" s="2">
        <v>1321302</v>
      </c>
      <c r="B357" s="2" t="s">
        <v>1367</v>
      </c>
      <c r="C357" s="2" t="s">
        <v>218</v>
      </c>
      <c r="D357" s="2" t="s">
        <v>556</v>
      </c>
      <c r="E357" s="2" t="s">
        <v>1424</v>
      </c>
      <c r="F357" s="2" t="s">
        <v>297</v>
      </c>
      <c r="H357" s="2">
        <v>2</v>
      </c>
      <c r="L357" s="2" t="s">
        <v>1425</v>
      </c>
    </row>
    <row r="358" spans="1:15" ht="15" customHeight="1" x14ac:dyDescent="0.25">
      <c r="A358" s="2">
        <v>1321303</v>
      </c>
      <c r="B358" s="2" t="s">
        <v>1367</v>
      </c>
      <c r="C358" s="2" t="s">
        <v>218</v>
      </c>
      <c r="D358" s="2" t="s">
        <v>556</v>
      </c>
      <c r="E358" s="2" t="s">
        <v>1426</v>
      </c>
      <c r="F358" s="2" t="s">
        <v>295</v>
      </c>
      <c r="H358" s="2">
        <v>3</v>
      </c>
      <c r="I358" s="2">
        <v>3</v>
      </c>
      <c r="J358" s="2">
        <v>3</v>
      </c>
      <c r="L358" s="2" t="s">
        <v>257</v>
      </c>
      <c r="M358" s="2" t="s">
        <v>1427</v>
      </c>
    </row>
    <row r="359" spans="1:15" ht="15" customHeight="1" x14ac:dyDescent="0.25">
      <c r="A359" s="2">
        <v>1321401</v>
      </c>
      <c r="B359" s="2" t="s">
        <v>1367</v>
      </c>
      <c r="C359" s="2" t="s">
        <v>218</v>
      </c>
      <c r="D359" s="2" t="s">
        <v>558</v>
      </c>
      <c r="E359" s="2" t="s">
        <v>1428</v>
      </c>
      <c r="F359" s="2" t="s">
        <v>295</v>
      </c>
      <c r="H359" s="2">
        <v>2</v>
      </c>
      <c r="I359" s="2">
        <v>2</v>
      </c>
      <c r="J359" s="2">
        <v>1</v>
      </c>
      <c r="L359" s="2" t="s">
        <v>1429</v>
      </c>
    </row>
    <row r="360" spans="1:15" ht="15" customHeight="1" x14ac:dyDescent="0.25">
      <c r="A360" s="2">
        <v>1321402</v>
      </c>
      <c r="B360" s="2" t="s">
        <v>1367</v>
      </c>
      <c r="C360" s="2" t="s">
        <v>218</v>
      </c>
      <c r="D360" s="2" t="s">
        <v>558</v>
      </c>
      <c r="E360" s="2" t="s">
        <v>1430</v>
      </c>
      <c r="F360" s="2" t="s">
        <v>297</v>
      </c>
      <c r="H360" s="2">
        <v>3</v>
      </c>
      <c r="L360" s="2" t="s">
        <v>760</v>
      </c>
      <c r="M360" s="2" t="s">
        <v>1431</v>
      </c>
    </row>
    <row r="361" spans="1:15" ht="15" customHeight="1" x14ac:dyDescent="0.25">
      <c r="A361" s="2">
        <v>1321403</v>
      </c>
      <c r="B361" s="2" t="s">
        <v>1367</v>
      </c>
      <c r="C361" s="2" t="s">
        <v>218</v>
      </c>
      <c r="D361" s="2" t="s">
        <v>558</v>
      </c>
      <c r="E361" s="2" t="s">
        <v>1432</v>
      </c>
      <c r="F361" s="2" t="s">
        <v>295</v>
      </c>
      <c r="H361" s="2">
        <v>5</v>
      </c>
      <c r="I361" s="2">
        <v>4</v>
      </c>
      <c r="J361" s="2">
        <v>5</v>
      </c>
      <c r="L361" s="2" t="s">
        <v>253</v>
      </c>
    </row>
    <row r="362" spans="1:15" ht="15" customHeight="1" x14ac:dyDescent="0.25">
      <c r="A362" s="2">
        <v>1330201</v>
      </c>
      <c r="B362" s="2" t="s">
        <v>1367</v>
      </c>
      <c r="C362" s="2" t="s">
        <v>219</v>
      </c>
      <c r="D362" s="2" t="s">
        <v>554</v>
      </c>
      <c r="E362" s="2" t="s">
        <v>1433</v>
      </c>
      <c r="F362" s="2" t="s">
        <v>398</v>
      </c>
      <c r="H362" s="2">
        <v>0</v>
      </c>
      <c r="K362" s="2">
        <v>1</v>
      </c>
      <c r="L362" s="2" t="s">
        <v>1434</v>
      </c>
      <c r="M362" s="2" t="s">
        <v>1435</v>
      </c>
    </row>
    <row r="363" spans="1:15" ht="15" customHeight="1" x14ac:dyDescent="0.25">
      <c r="A363" s="2">
        <v>1330301</v>
      </c>
      <c r="B363" s="2" t="s">
        <v>1367</v>
      </c>
      <c r="C363" s="2" t="s">
        <v>219</v>
      </c>
      <c r="D363" s="2" t="s">
        <v>556</v>
      </c>
      <c r="E363" s="2" t="s">
        <v>1436</v>
      </c>
      <c r="F363" s="2" t="s">
        <v>295</v>
      </c>
      <c r="H363" s="2">
        <v>1</v>
      </c>
      <c r="I363" s="2">
        <v>1</v>
      </c>
      <c r="J363" s="2">
        <v>1</v>
      </c>
      <c r="L363" s="2" t="s">
        <v>249</v>
      </c>
      <c r="M363" s="2" t="s">
        <v>1437</v>
      </c>
    </row>
    <row r="364" spans="1:15" ht="15" customHeight="1" x14ac:dyDescent="0.25">
      <c r="A364" s="2">
        <v>1330302</v>
      </c>
      <c r="B364" s="2" t="s">
        <v>1367</v>
      </c>
      <c r="C364" s="2" t="s">
        <v>219</v>
      </c>
      <c r="D364" s="2" t="s">
        <v>556</v>
      </c>
      <c r="E364" s="2" t="s">
        <v>1438</v>
      </c>
      <c r="F364" s="2" t="s">
        <v>398</v>
      </c>
      <c r="H364" s="2">
        <v>0</v>
      </c>
      <c r="L364" s="2" t="s">
        <v>1439</v>
      </c>
    </row>
    <row r="365" spans="1:15" ht="15" customHeight="1" x14ac:dyDescent="0.25">
      <c r="A365" s="2">
        <v>1331101</v>
      </c>
      <c r="B365" s="2" t="s">
        <v>1367</v>
      </c>
      <c r="C365" s="2" t="s">
        <v>219</v>
      </c>
      <c r="D365" s="2" t="s">
        <v>552</v>
      </c>
      <c r="E365" s="2" t="s">
        <v>167</v>
      </c>
      <c r="F365" s="2" t="s">
        <v>295</v>
      </c>
      <c r="G365" s="2" t="s">
        <v>675</v>
      </c>
      <c r="H365" s="2">
        <v>6</v>
      </c>
      <c r="I365" s="2">
        <v>5</v>
      </c>
      <c r="J365" s="2">
        <v>5</v>
      </c>
      <c r="L365" s="2" t="s">
        <v>1440</v>
      </c>
      <c r="M365" s="2" t="s">
        <v>692</v>
      </c>
    </row>
    <row r="366" spans="1:15" ht="15" customHeight="1" x14ac:dyDescent="0.25">
      <c r="A366" s="2">
        <v>1331102</v>
      </c>
      <c r="B366" s="2" t="s">
        <v>1367</v>
      </c>
      <c r="C366" s="2" t="s">
        <v>219</v>
      </c>
      <c r="D366" s="2" t="s">
        <v>552</v>
      </c>
      <c r="E366" s="2" t="s">
        <v>1441</v>
      </c>
      <c r="F366" s="2" t="s">
        <v>295</v>
      </c>
      <c r="G366" s="2" t="s">
        <v>678</v>
      </c>
      <c r="H366" s="2">
        <v>8</v>
      </c>
      <c r="I366" s="2">
        <v>5</v>
      </c>
      <c r="J366" s="2">
        <v>5</v>
      </c>
      <c r="L366" s="2" t="s">
        <v>263</v>
      </c>
      <c r="M366" s="2" t="s">
        <v>1442</v>
      </c>
      <c r="N366" s="2" t="s">
        <v>1443</v>
      </c>
    </row>
    <row r="367" spans="1:15" ht="15" customHeight="1" x14ac:dyDescent="0.25">
      <c r="A367" s="2">
        <v>1331201</v>
      </c>
      <c r="B367" s="2" t="s">
        <v>1367</v>
      </c>
      <c r="C367" s="2" t="s">
        <v>219</v>
      </c>
      <c r="D367" s="2" t="s">
        <v>554</v>
      </c>
      <c r="E367" s="2" t="s">
        <v>1444</v>
      </c>
      <c r="F367" s="2" t="s">
        <v>295</v>
      </c>
      <c r="G367" s="2" t="s">
        <v>675</v>
      </c>
      <c r="H367" s="2">
        <v>3</v>
      </c>
      <c r="I367" s="2">
        <v>3</v>
      </c>
      <c r="J367" s="2">
        <v>3</v>
      </c>
      <c r="L367" s="2" t="s">
        <v>257</v>
      </c>
      <c r="M367" s="2" t="s">
        <v>1445</v>
      </c>
      <c r="N367" s="2" t="s">
        <v>1446</v>
      </c>
    </row>
    <row r="368" spans="1:15" ht="15" customHeight="1" x14ac:dyDescent="0.25">
      <c r="A368" s="2">
        <v>1331202</v>
      </c>
      <c r="B368" s="2" t="s">
        <v>1367</v>
      </c>
      <c r="C368" s="2" t="s">
        <v>219</v>
      </c>
      <c r="D368" s="2" t="s">
        <v>554</v>
      </c>
      <c r="E368" s="2" t="s">
        <v>122</v>
      </c>
      <c r="F368" s="2" t="s">
        <v>297</v>
      </c>
      <c r="H368" s="2">
        <v>2</v>
      </c>
      <c r="L368" s="2" t="s">
        <v>1447</v>
      </c>
      <c r="M368" s="2" t="s">
        <v>1448</v>
      </c>
    </row>
    <row r="369" spans="1:15" ht="15" customHeight="1" x14ac:dyDescent="0.25">
      <c r="A369" s="2">
        <v>1331301</v>
      </c>
      <c r="B369" s="2" t="s">
        <v>1367</v>
      </c>
      <c r="C369" s="2" t="s">
        <v>219</v>
      </c>
      <c r="D369" s="2" t="s">
        <v>556</v>
      </c>
      <c r="E369" s="2" t="s">
        <v>157</v>
      </c>
      <c r="F369" s="2" t="s">
        <v>295</v>
      </c>
      <c r="H369" s="2">
        <v>5</v>
      </c>
      <c r="I369" s="2">
        <v>4</v>
      </c>
      <c r="J369" s="2">
        <v>4</v>
      </c>
      <c r="L369" s="2" t="s">
        <v>1449</v>
      </c>
      <c r="M369" s="2" t="s">
        <v>1450</v>
      </c>
    </row>
    <row r="370" spans="1:15" ht="15" customHeight="1" x14ac:dyDescent="0.25">
      <c r="A370" s="2">
        <v>1331302</v>
      </c>
      <c r="B370" s="2" t="s">
        <v>1367</v>
      </c>
      <c r="C370" s="2" t="s">
        <v>219</v>
      </c>
      <c r="D370" s="2" t="s">
        <v>556</v>
      </c>
      <c r="E370" s="2" t="s">
        <v>137</v>
      </c>
      <c r="F370" s="2" t="s">
        <v>297</v>
      </c>
      <c r="H370" s="2">
        <v>3</v>
      </c>
      <c r="L370" s="2" t="s">
        <v>1150</v>
      </c>
      <c r="M370" s="2" t="s">
        <v>1451</v>
      </c>
    </row>
    <row r="371" spans="1:15" ht="15" customHeight="1" x14ac:dyDescent="0.25">
      <c r="A371" s="2">
        <v>1331303</v>
      </c>
      <c r="B371" s="2" t="s">
        <v>1367</v>
      </c>
      <c r="C371" s="2" t="s">
        <v>219</v>
      </c>
      <c r="D371" s="2" t="s">
        <v>556</v>
      </c>
      <c r="E371" s="2" t="s">
        <v>1452</v>
      </c>
      <c r="F371" s="2" t="s">
        <v>295</v>
      </c>
      <c r="H371" s="2">
        <v>4</v>
      </c>
      <c r="I371" s="2">
        <v>3</v>
      </c>
      <c r="J371" s="2">
        <v>3</v>
      </c>
      <c r="L371" s="2" t="s">
        <v>1453</v>
      </c>
      <c r="M371" s="2" t="s">
        <v>1175</v>
      </c>
      <c r="N371" s="2" t="s">
        <v>692</v>
      </c>
    </row>
    <row r="372" spans="1:15" ht="15" customHeight="1" x14ac:dyDescent="0.25">
      <c r="A372" s="2">
        <v>1331401</v>
      </c>
      <c r="B372" s="2" t="s">
        <v>1367</v>
      </c>
      <c r="C372" s="2" t="s">
        <v>219</v>
      </c>
      <c r="D372" s="2" t="s">
        <v>558</v>
      </c>
      <c r="E372" s="2" t="s">
        <v>127</v>
      </c>
      <c r="F372" s="2" t="s">
        <v>295</v>
      </c>
      <c r="H372" s="2">
        <v>2</v>
      </c>
      <c r="I372" s="2">
        <v>2</v>
      </c>
      <c r="J372" s="2">
        <v>2</v>
      </c>
      <c r="L372" s="2" t="s">
        <v>1454</v>
      </c>
      <c r="M372" s="2" t="s">
        <v>1455</v>
      </c>
    </row>
    <row r="373" spans="1:15" ht="15" customHeight="1" x14ac:dyDescent="0.25">
      <c r="A373" s="2">
        <v>1331402</v>
      </c>
      <c r="B373" s="2" t="s">
        <v>1367</v>
      </c>
      <c r="C373" s="2" t="s">
        <v>219</v>
      </c>
      <c r="D373" s="2" t="s">
        <v>558</v>
      </c>
      <c r="E373" s="2" t="s">
        <v>1456</v>
      </c>
      <c r="F373" s="2" t="s">
        <v>295</v>
      </c>
      <c r="H373" s="2">
        <v>2</v>
      </c>
      <c r="I373" s="2">
        <v>2</v>
      </c>
      <c r="J373" s="2">
        <v>2</v>
      </c>
      <c r="L373" s="2" t="s">
        <v>1023</v>
      </c>
      <c r="M373" s="2" t="s">
        <v>1422</v>
      </c>
    </row>
    <row r="374" spans="1:15" ht="15" customHeight="1" x14ac:dyDescent="0.25">
      <c r="A374" s="2">
        <v>1331403</v>
      </c>
      <c r="B374" s="2" t="s">
        <v>1367</v>
      </c>
      <c r="C374" s="2" t="s">
        <v>219</v>
      </c>
      <c r="D374" s="2" t="s">
        <v>558</v>
      </c>
      <c r="E374" s="2" t="s">
        <v>1457</v>
      </c>
      <c r="F374" s="2" t="s">
        <v>297</v>
      </c>
      <c r="H374" s="2">
        <v>4</v>
      </c>
      <c r="L374" s="2" t="s">
        <v>802</v>
      </c>
      <c r="M374" s="2" t="s">
        <v>1458</v>
      </c>
    </row>
    <row r="375" spans="1:15" ht="15" customHeight="1" x14ac:dyDescent="0.25">
      <c r="A375" s="2">
        <v>1340101</v>
      </c>
      <c r="B375" s="2" t="s">
        <v>1367</v>
      </c>
      <c r="C375" s="2" t="s">
        <v>220</v>
      </c>
      <c r="D375" s="2" t="s">
        <v>552</v>
      </c>
      <c r="E375" s="2" t="s">
        <v>1459</v>
      </c>
      <c r="F375" s="2" t="s">
        <v>297</v>
      </c>
      <c r="H375" s="2">
        <v>3</v>
      </c>
      <c r="L375" s="2" t="s">
        <v>1460</v>
      </c>
    </row>
    <row r="376" spans="1:15" ht="15" customHeight="1" x14ac:dyDescent="0.25">
      <c r="A376" s="2">
        <v>1340201</v>
      </c>
      <c r="B376" s="2" t="s">
        <v>1367</v>
      </c>
      <c r="C376" s="2" t="s">
        <v>220</v>
      </c>
      <c r="D376" s="2" t="s">
        <v>554</v>
      </c>
      <c r="E376" s="2" t="s">
        <v>1461</v>
      </c>
      <c r="F376" s="2" t="s">
        <v>398</v>
      </c>
      <c r="H376" s="2">
        <v>0</v>
      </c>
      <c r="L376" s="2" t="s">
        <v>1462</v>
      </c>
    </row>
    <row r="377" spans="1:15" ht="15" customHeight="1" x14ac:dyDescent="0.25">
      <c r="A377" s="2">
        <v>1340401</v>
      </c>
      <c r="B377" s="2" t="s">
        <v>1367</v>
      </c>
      <c r="C377" s="2" t="s">
        <v>220</v>
      </c>
      <c r="D377" s="2" t="s">
        <v>558</v>
      </c>
      <c r="E377" s="2" t="s">
        <v>1463</v>
      </c>
      <c r="F377" s="2" t="s">
        <v>295</v>
      </c>
      <c r="G377" s="2" t="s">
        <v>677</v>
      </c>
      <c r="H377" s="2">
        <v>2</v>
      </c>
      <c r="I377" s="2">
        <v>2</v>
      </c>
      <c r="J377" s="2">
        <v>2</v>
      </c>
      <c r="L377" s="2" t="s">
        <v>249</v>
      </c>
    </row>
    <row r="378" spans="1:15" ht="15" customHeight="1" x14ac:dyDescent="0.25">
      <c r="A378" s="2">
        <v>1341101</v>
      </c>
      <c r="B378" s="2" t="s">
        <v>1367</v>
      </c>
      <c r="C378" s="2" t="s">
        <v>220</v>
      </c>
      <c r="D378" s="2" t="s">
        <v>552</v>
      </c>
      <c r="E378" s="2" t="s">
        <v>1464</v>
      </c>
      <c r="F378" s="2" t="s">
        <v>295</v>
      </c>
      <c r="H378" s="2">
        <v>8</v>
      </c>
      <c r="I378" s="2">
        <v>4</v>
      </c>
      <c r="J378" s="2">
        <v>4</v>
      </c>
      <c r="L378" s="2" t="s">
        <v>1465</v>
      </c>
    </row>
    <row r="379" spans="1:15" ht="15" customHeight="1" x14ac:dyDescent="0.25">
      <c r="A379" s="2">
        <v>1341102</v>
      </c>
      <c r="B379" s="2" t="s">
        <v>1367</v>
      </c>
      <c r="C379" s="2" t="s">
        <v>220</v>
      </c>
      <c r="D379" s="2" t="s">
        <v>552</v>
      </c>
      <c r="E379" s="2" t="s">
        <v>1466</v>
      </c>
      <c r="F379" s="2" t="s">
        <v>295</v>
      </c>
      <c r="H379" s="2">
        <v>2</v>
      </c>
      <c r="I379" s="2">
        <v>2</v>
      </c>
      <c r="J379" s="2">
        <v>2</v>
      </c>
      <c r="L379" s="2" t="s">
        <v>1467</v>
      </c>
      <c r="M379" s="2" t="s">
        <v>255</v>
      </c>
      <c r="N379" s="2" t="s">
        <v>1468</v>
      </c>
    </row>
    <row r="380" spans="1:15" ht="15" customHeight="1" x14ac:dyDescent="0.25">
      <c r="A380" s="2">
        <v>1341201</v>
      </c>
      <c r="B380" s="2" t="s">
        <v>1367</v>
      </c>
      <c r="C380" s="2" t="s">
        <v>220</v>
      </c>
      <c r="D380" s="2" t="s">
        <v>554</v>
      </c>
      <c r="E380" s="2" t="s">
        <v>1469</v>
      </c>
      <c r="F380" s="2" t="s">
        <v>297</v>
      </c>
      <c r="H380" s="2">
        <v>6</v>
      </c>
      <c r="L380" s="2" t="s">
        <v>1470</v>
      </c>
      <c r="M380" s="2" t="s">
        <v>981</v>
      </c>
    </row>
    <row r="381" spans="1:15" ht="15" customHeight="1" x14ac:dyDescent="0.25">
      <c r="A381" s="2">
        <v>1341202</v>
      </c>
      <c r="B381" s="2" t="s">
        <v>1367</v>
      </c>
      <c r="C381" s="2" t="s">
        <v>220</v>
      </c>
      <c r="D381" s="2" t="s">
        <v>554</v>
      </c>
      <c r="E381" s="2" t="s">
        <v>1471</v>
      </c>
      <c r="F381" s="2" t="s">
        <v>295</v>
      </c>
      <c r="H381" s="2">
        <v>7</v>
      </c>
      <c r="I381" s="2">
        <v>5</v>
      </c>
      <c r="J381" s="2">
        <v>5</v>
      </c>
      <c r="L381" s="2" t="s">
        <v>1472</v>
      </c>
      <c r="M381" s="2" t="s">
        <v>1473</v>
      </c>
      <c r="N381" s="2" t="s">
        <v>257</v>
      </c>
      <c r="O381" s="2" t="s">
        <v>1474</v>
      </c>
    </row>
    <row r="382" spans="1:15" ht="15" customHeight="1" x14ac:dyDescent="0.25">
      <c r="A382" s="2">
        <v>1341301</v>
      </c>
      <c r="B382" s="2" t="s">
        <v>1367</v>
      </c>
      <c r="C382" s="2" t="s">
        <v>220</v>
      </c>
      <c r="D382" s="2" t="s">
        <v>556</v>
      </c>
      <c r="E382" s="2" t="s">
        <v>1475</v>
      </c>
      <c r="F382" s="2" t="s">
        <v>299</v>
      </c>
      <c r="H382" s="2">
        <v>1</v>
      </c>
      <c r="L382" s="2" t="s">
        <v>948</v>
      </c>
      <c r="M382" s="2" t="s">
        <v>1476</v>
      </c>
    </row>
    <row r="383" spans="1:15" ht="15" customHeight="1" x14ac:dyDescent="0.25">
      <c r="A383" s="2">
        <v>1341302</v>
      </c>
      <c r="B383" s="2" t="s">
        <v>1367</v>
      </c>
      <c r="C383" s="2" t="s">
        <v>220</v>
      </c>
      <c r="D383" s="2" t="s">
        <v>556</v>
      </c>
      <c r="E383" s="2" t="s">
        <v>1477</v>
      </c>
      <c r="F383" s="2" t="s">
        <v>295</v>
      </c>
      <c r="H383" s="2">
        <v>2</v>
      </c>
      <c r="I383" s="2">
        <v>2</v>
      </c>
      <c r="J383" s="2">
        <v>2</v>
      </c>
      <c r="L383" s="2" t="s">
        <v>1478</v>
      </c>
    </row>
    <row r="384" spans="1:15" ht="15" customHeight="1" x14ac:dyDescent="0.25">
      <c r="A384" s="2">
        <v>1341303</v>
      </c>
      <c r="B384" s="2" t="s">
        <v>1367</v>
      </c>
      <c r="C384" s="2" t="s">
        <v>220</v>
      </c>
      <c r="D384" s="2" t="s">
        <v>556</v>
      </c>
      <c r="E384" s="2" t="s">
        <v>1479</v>
      </c>
      <c r="F384" s="2" t="s">
        <v>295</v>
      </c>
      <c r="H384" s="2">
        <v>5</v>
      </c>
      <c r="I384" s="2">
        <v>3</v>
      </c>
      <c r="J384" s="2">
        <v>3</v>
      </c>
      <c r="L384" s="2" t="s">
        <v>1473</v>
      </c>
      <c r="M384" s="2" t="s">
        <v>1480</v>
      </c>
    </row>
    <row r="385" spans="1:15" ht="15" customHeight="1" x14ac:dyDescent="0.25">
      <c r="A385" s="2">
        <v>1341401</v>
      </c>
      <c r="B385" s="2" t="s">
        <v>1367</v>
      </c>
      <c r="C385" s="2" t="s">
        <v>220</v>
      </c>
      <c r="D385" s="2" t="s">
        <v>558</v>
      </c>
      <c r="E385" s="2" t="s">
        <v>1481</v>
      </c>
      <c r="F385" s="2" t="s">
        <v>295</v>
      </c>
      <c r="H385" s="2">
        <v>1</v>
      </c>
      <c r="I385" s="2">
        <v>1</v>
      </c>
      <c r="L385" s="2" t="s">
        <v>1482</v>
      </c>
      <c r="M385" s="2" t="s">
        <v>249</v>
      </c>
    </row>
    <row r="386" spans="1:15" ht="15" customHeight="1" x14ac:dyDescent="0.25">
      <c r="A386" s="2">
        <v>1341402</v>
      </c>
      <c r="B386" s="2" t="s">
        <v>1367</v>
      </c>
      <c r="C386" s="2" t="s">
        <v>220</v>
      </c>
      <c r="D386" s="2" t="s">
        <v>558</v>
      </c>
      <c r="E386" s="2" t="s">
        <v>1483</v>
      </c>
      <c r="F386" s="2" t="s">
        <v>297</v>
      </c>
      <c r="H386" s="2">
        <v>2</v>
      </c>
      <c r="L386" s="2" t="s">
        <v>1484</v>
      </c>
      <c r="M386" s="2" t="s">
        <v>1485</v>
      </c>
    </row>
    <row r="387" spans="1:15" ht="15" customHeight="1" x14ac:dyDescent="0.25">
      <c r="A387" s="2">
        <v>1341403</v>
      </c>
      <c r="B387" s="2" t="s">
        <v>1367</v>
      </c>
      <c r="C387" s="2" t="s">
        <v>220</v>
      </c>
      <c r="D387" s="2" t="s">
        <v>558</v>
      </c>
      <c r="E387" s="2" t="s">
        <v>1486</v>
      </c>
      <c r="F387" s="2" t="s">
        <v>295</v>
      </c>
      <c r="H387" s="2">
        <v>10</v>
      </c>
      <c r="I387" s="2">
        <v>4</v>
      </c>
      <c r="J387" s="2">
        <v>4</v>
      </c>
      <c r="L387" s="2" t="s">
        <v>1487</v>
      </c>
      <c r="M387" s="2" t="s">
        <v>1209</v>
      </c>
    </row>
    <row r="388" spans="1:15" ht="15" customHeight="1" x14ac:dyDescent="0.25">
      <c r="A388" s="2">
        <v>1350101</v>
      </c>
      <c r="B388" s="2" t="s">
        <v>1367</v>
      </c>
      <c r="C388" s="2" t="s">
        <v>222</v>
      </c>
      <c r="D388" s="2" t="s">
        <v>552</v>
      </c>
      <c r="E388" s="2" t="s">
        <v>1488</v>
      </c>
      <c r="F388" s="2" t="s">
        <v>398</v>
      </c>
      <c r="H388" s="2">
        <v>0</v>
      </c>
      <c r="K388" s="2">
        <v>2</v>
      </c>
      <c r="L388" s="2" t="s">
        <v>1489</v>
      </c>
    </row>
    <row r="389" spans="1:15" ht="15" customHeight="1" x14ac:dyDescent="0.25">
      <c r="A389" s="2">
        <v>1350102</v>
      </c>
      <c r="B389" s="2" t="s">
        <v>1367</v>
      </c>
      <c r="C389" s="2" t="s">
        <v>222</v>
      </c>
      <c r="D389" s="2" t="s">
        <v>552</v>
      </c>
      <c r="E389" s="2" t="s">
        <v>1490</v>
      </c>
      <c r="F389" s="2" t="s">
        <v>295</v>
      </c>
      <c r="H389" s="2">
        <v>2</v>
      </c>
      <c r="I389" s="2">
        <v>2</v>
      </c>
      <c r="J389" s="2">
        <v>3</v>
      </c>
      <c r="L389" s="2" t="s">
        <v>249</v>
      </c>
      <c r="M389" s="2" t="s">
        <v>257</v>
      </c>
      <c r="N389" s="2" t="s">
        <v>1491</v>
      </c>
    </row>
    <row r="390" spans="1:15" ht="15" customHeight="1" x14ac:dyDescent="0.25">
      <c r="A390" s="2">
        <v>1350402</v>
      </c>
      <c r="B390" s="2" t="s">
        <v>1367</v>
      </c>
      <c r="C390" s="2" t="s">
        <v>222</v>
      </c>
      <c r="D390" s="2" t="s">
        <v>558</v>
      </c>
      <c r="E390" s="2" t="s">
        <v>1492</v>
      </c>
      <c r="F390" s="2" t="s">
        <v>295</v>
      </c>
      <c r="G390" s="2" t="s">
        <v>669</v>
      </c>
      <c r="H390" s="2">
        <v>3</v>
      </c>
      <c r="I390" s="2">
        <v>2</v>
      </c>
      <c r="J390" s="2">
        <v>2</v>
      </c>
      <c r="L390" s="2" t="s">
        <v>1493</v>
      </c>
    </row>
    <row r="391" spans="1:15" ht="15" customHeight="1" x14ac:dyDescent="0.25">
      <c r="A391" s="2">
        <v>1351102</v>
      </c>
      <c r="B391" s="2" t="s">
        <v>1367</v>
      </c>
      <c r="C391" s="2" t="s">
        <v>222</v>
      </c>
      <c r="D391" s="2" t="s">
        <v>552</v>
      </c>
      <c r="E391" s="2" t="s">
        <v>1494</v>
      </c>
      <c r="F391" s="2" t="s">
        <v>295</v>
      </c>
      <c r="H391" s="2">
        <v>5</v>
      </c>
      <c r="I391" s="2">
        <v>4</v>
      </c>
      <c r="J391" s="2">
        <v>4</v>
      </c>
      <c r="L391" s="2" t="s">
        <v>1495</v>
      </c>
      <c r="M391" s="2" t="s">
        <v>1496</v>
      </c>
      <c r="N391" s="2" t="s">
        <v>1497</v>
      </c>
      <c r="O391" s="2" t="s">
        <v>1498</v>
      </c>
    </row>
    <row r="392" spans="1:15" ht="15" customHeight="1" x14ac:dyDescent="0.25">
      <c r="A392" s="2">
        <v>1351103</v>
      </c>
      <c r="B392" s="2" t="s">
        <v>1367</v>
      </c>
      <c r="C392" s="2" t="s">
        <v>222</v>
      </c>
      <c r="D392" s="2" t="s">
        <v>552</v>
      </c>
      <c r="E392" s="2" t="s">
        <v>1499</v>
      </c>
      <c r="F392" s="2" t="s">
        <v>295</v>
      </c>
      <c r="H392" s="2">
        <v>9</v>
      </c>
      <c r="I392" s="2">
        <v>5</v>
      </c>
      <c r="J392" s="2">
        <v>9</v>
      </c>
      <c r="L392" s="2" t="s">
        <v>1500</v>
      </c>
    </row>
    <row r="393" spans="1:15" ht="15" customHeight="1" x14ac:dyDescent="0.25">
      <c r="A393" s="2">
        <v>1351202</v>
      </c>
      <c r="B393" s="2" t="s">
        <v>1367</v>
      </c>
      <c r="C393" s="2" t="s">
        <v>222</v>
      </c>
      <c r="D393" s="2" t="s">
        <v>554</v>
      </c>
      <c r="E393" s="2" t="s">
        <v>1501</v>
      </c>
      <c r="F393" s="2" t="s">
        <v>295</v>
      </c>
      <c r="H393" s="2">
        <v>3</v>
      </c>
      <c r="I393" s="2">
        <v>3</v>
      </c>
      <c r="J393" s="2">
        <v>2</v>
      </c>
      <c r="L393" s="2" t="s">
        <v>1502</v>
      </c>
      <c r="M393" s="2" t="s">
        <v>1503</v>
      </c>
    </row>
    <row r="394" spans="1:15" ht="15" customHeight="1" x14ac:dyDescent="0.25">
      <c r="A394" s="2">
        <v>1351203</v>
      </c>
      <c r="B394" s="2" t="s">
        <v>1367</v>
      </c>
      <c r="C394" s="2" t="s">
        <v>222</v>
      </c>
      <c r="D394" s="2" t="s">
        <v>554</v>
      </c>
      <c r="E394" s="2" t="s">
        <v>1504</v>
      </c>
      <c r="F394" s="2" t="s">
        <v>295</v>
      </c>
      <c r="H394" s="2">
        <v>4</v>
      </c>
      <c r="I394" s="2">
        <v>1</v>
      </c>
      <c r="J394" s="2">
        <v>3</v>
      </c>
      <c r="L394" s="2" t="s">
        <v>1505</v>
      </c>
      <c r="M394" s="2" t="s">
        <v>1288</v>
      </c>
      <c r="N394" s="2" t="s">
        <v>251</v>
      </c>
    </row>
    <row r="395" spans="1:15" ht="15" customHeight="1" x14ac:dyDescent="0.25">
      <c r="A395" s="2">
        <v>1351301</v>
      </c>
      <c r="B395" s="2" t="s">
        <v>1367</v>
      </c>
      <c r="C395" s="2" t="s">
        <v>222</v>
      </c>
      <c r="D395" s="2" t="s">
        <v>556</v>
      </c>
      <c r="E395" s="2" t="s">
        <v>1506</v>
      </c>
      <c r="F395" s="2" t="s">
        <v>297</v>
      </c>
      <c r="H395" s="2">
        <v>2</v>
      </c>
      <c r="L395" s="2" t="s">
        <v>1507</v>
      </c>
    </row>
    <row r="396" spans="1:15" ht="15" customHeight="1" x14ac:dyDescent="0.25">
      <c r="A396" s="2">
        <v>1351302</v>
      </c>
      <c r="B396" s="2" t="s">
        <v>1367</v>
      </c>
      <c r="C396" s="2" t="s">
        <v>222</v>
      </c>
      <c r="D396" s="2" t="s">
        <v>556</v>
      </c>
      <c r="E396" s="2" t="s">
        <v>1508</v>
      </c>
      <c r="F396" s="2" t="s">
        <v>295</v>
      </c>
      <c r="H396" s="2">
        <v>3</v>
      </c>
      <c r="I396" s="2">
        <v>2</v>
      </c>
      <c r="J396" s="2">
        <v>4</v>
      </c>
      <c r="L396" s="2" t="s">
        <v>249</v>
      </c>
      <c r="M396" s="2" t="s">
        <v>1509</v>
      </c>
      <c r="N396" s="2" t="s">
        <v>1510</v>
      </c>
    </row>
    <row r="397" spans="1:15" ht="15" customHeight="1" x14ac:dyDescent="0.25">
      <c r="A397" s="2">
        <v>1351303</v>
      </c>
      <c r="B397" s="2" t="s">
        <v>1367</v>
      </c>
      <c r="C397" s="2" t="s">
        <v>222</v>
      </c>
      <c r="D397" s="2" t="s">
        <v>556</v>
      </c>
      <c r="E397" s="2" t="s">
        <v>1511</v>
      </c>
      <c r="F397" s="2" t="s">
        <v>295</v>
      </c>
      <c r="H397" s="2">
        <v>6</v>
      </c>
      <c r="I397" s="2">
        <v>3</v>
      </c>
      <c r="J397" s="2">
        <v>3</v>
      </c>
      <c r="L397" s="2" t="s">
        <v>1512</v>
      </c>
    </row>
    <row r="398" spans="1:15" ht="15" customHeight="1" x14ac:dyDescent="0.25">
      <c r="A398" s="2">
        <v>1351401</v>
      </c>
      <c r="B398" s="2" t="s">
        <v>1367</v>
      </c>
      <c r="C398" s="2" t="s">
        <v>222</v>
      </c>
      <c r="D398" s="2" t="s">
        <v>558</v>
      </c>
      <c r="E398" s="2" t="s">
        <v>1513</v>
      </c>
      <c r="F398" s="2" t="s">
        <v>295</v>
      </c>
      <c r="H398" s="2">
        <v>1</v>
      </c>
      <c r="I398" s="2">
        <v>1</v>
      </c>
      <c r="J398" s="2">
        <v>1</v>
      </c>
      <c r="L398" s="2" t="s">
        <v>1273</v>
      </c>
    </row>
    <row r="399" spans="1:15" ht="15" customHeight="1" x14ac:dyDescent="0.25">
      <c r="A399" s="2">
        <v>1351402</v>
      </c>
      <c r="B399" s="2" t="s">
        <v>1367</v>
      </c>
      <c r="C399" s="2" t="s">
        <v>222</v>
      </c>
      <c r="D399" s="2" t="s">
        <v>558</v>
      </c>
      <c r="E399" s="2" t="s">
        <v>1514</v>
      </c>
      <c r="F399" s="2" t="s">
        <v>297</v>
      </c>
      <c r="H399" s="2">
        <v>2</v>
      </c>
      <c r="L399" s="2" t="s">
        <v>1515</v>
      </c>
      <c r="M399" s="2" t="s">
        <v>1516</v>
      </c>
      <c r="N399" s="2" t="s">
        <v>1517</v>
      </c>
    </row>
    <row r="400" spans="1:15" ht="15" customHeight="1" x14ac:dyDescent="0.25">
      <c r="A400" s="2">
        <v>1351403</v>
      </c>
      <c r="B400" s="2" t="s">
        <v>1367</v>
      </c>
      <c r="C400" s="2" t="s">
        <v>222</v>
      </c>
      <c r="D400" s="2" t="s">
        <v>558</v>
      </c>
      <c r="E400" s="2" t="s">
        <v>1518</v>
      </c>
      <c r="F400" s="2" t="s">
        <v>295</v>
      </c>
      <c r="H400" s="2">
        <v>5</v>
      </c>
      <c r="I400" s="2">
        <v>3</v>
      </c>
      <c r="J400" s="2">
        <v>4</v>
      </c>
      <c r="L400" s="2" t="s">
        <v>255</v>
      </c>
      <c r="M400" s="2" t="s">
        <v>1519</v>
      </c>
      <c r="N400" s="2" t="s">
        <v>1520</v>
      </c>
    </row>
    <row r="401" spans="1:14" ht="15" customHeight="1" x14ac:dyDescent="0.25">
      <c r="A401" s="2">
        <v>1360101</v>
      </c>
      <c r="B401" s="2" t="s">
        <v>1367</v>
      </c>
      <c r="C401" s="2" t="s">
        <v>224</v>
      </c>
      <c r="D401" s="2" t="s">
        <v>552</v>
      </c>
      <c r="E401" s="2" t="s">
        <v>1521</v>
      </c>
      <c r="F401" s="2" t="s">
        <v>295</v>
      </c>
      <c r="H401" s="2">
        <v>1</v>
      </c>
      <c r="I401" s="2">
        <v>1</v>
      </c>
      <c r="J401" s="2">
        <v>2</v>
      </c>
      <c r="L401" s="2" t="s">
        <v>257</v>
      </c>
    </row>
    <row r="402" spans="1:14" ht="15" customHeight="1" x14ac:dyDescent="0.25">
      <c r="A402" s="2">
        <v>1360102</v>
      </c>
      <c r="B402" s="2" t="s">
        <v>1367</v>
      </c>
      <c r="C402" s="2" t="s">
        <v>224</v>
      </c>
      <c r="D402" s="2" t="s">
        <v>552</v>
      </c>
      <c r="E402" s="2" t="s">
        <v>1522</v>
      </c>
      <c r="F402" s="2" t="s">
        <v>398</v>
      </c>
      <c r="H402" s="2">
        <v>0</v>
      </c>
      <c r="L402" s="2" t="s">
        <v>1523</v>
      </c>
    </row>
    <row r="403" spans="1:14" ht="15" customHeight="1" x14ac:dyDescent="0.25">
      <c r="A403" s="2">
        <v>1360201</v>
      </c>
      <c r="B403" s="2" t="s">
        <v>1367</v>
      </c>
      <c r="C403" s="2" t="s">
        <v>224</v>
      </c>
      <c r="D403" s="2" t="s">
        <v>554</v>
      </c>
      <c r="E403" s="2" t="s">
        <v>1524</v>
      </c>
      <c r="F403" s="2" t="s">
        <v>398</v>
      </c>
      <c r="H403" s="2">
        <v>0</v>
      </c>
      <c r="K403" s="2">
        <v>2</v>
      </c>
      <c r="L403" s="2" t="s">
        <v>1525</v>
      </c>
    </row>
    <row r="404" spans="1:14" ht="15" customHeight="1" x14ac:dyDescent="0.25">
      <c r="A404" s="2">
        <v>1361101</v>
      </c>
      <c r="B404" s="2" t="s">
        <v>1367</v>
      </c>
      <c r="C404" s="2" t="s">
        <v>224</v>
      </c>
      <c r="D404" s="2" t="s">
        <v>552</v>
      </c>
      <c r="E404" s="2" t="s">
        <v>166</v>
      </c>
      <c r="F404" s="2" t="s">
        <v>295</v>
      </c>
      <c r="H404" s="2">
        <v>6</v>
      </c>
      <c r="I404" s="2">
        <v>4</v>
      </c>
      <c r="J404" s="2">
        <v>6</v>
      </c>
      <c r="L404" s="2" t="s">
        <v>257</v>
      </c>
      <c r="M404" s="2" t="s">
        <v>1526</v>
      </c>
      <c r="N404" s="2" t="s">
        <v>1527</v>
      </c>
    </row>
    <row r="405" spans="1:14" ht="15" customHeight="1" x14ac:dyDescent="0.25">
      <c r="A405" s="2">
        <v>1361103</v>
      </c>
      <c r="B405" s="2" t="s">
        <v>1367</v>
      </c>
      <c r="C405" s="2" t="s">
        <v>224</v>
      </c>
      <c r="D405" s="2" t="s">
        <v>552</v>
      </c>
      <c r="E405" s="2" t="s">
        <v>1528</v>
      </c>
      <c r="F405" s="2" t="s">
        <v>295</v>
      </c>
      <c r="H405" s="2">
        <v>7</v>
      </c>
      <c r="I405" s="2">
        <v>2</v>
      </c>
      <c r="J405" s="2">
        <v>4</v>
      </c>
      <c r="L405" s="2" t="s">
        <v>1529</v>
      </c>
      <c r="M405" s="2" t="s">
        <v>257</v>
      </c>
      <c r="N405" s="2" t="s">
        <v>1530</v>
      </c>
    </row>
    <row r="406" spans="1:14" ht="15" customHeight="1" x14ac:dyDescent="0.25">
      <c r="A406" s="2">
        <v>1361201</v>
      </c>
      <c r="B406" s="2" t="s">
        <v>1367</v>
      </c>
      <c r="C406" s="2" t="s">
        <v>224</v>
      </c>
      <c r="D406" s="2" t="s">
        <v>554</v>
      </c>
      <c r="E406" s="2" t="s">
        <v>111</v>
      </c>
      <c r="F406" s="2" t="s">
        <v>297</v>
      </c>
      <c r="H406" s="2">
        <v>2</v>
      </c>
      <c r="L406" s="2" t="s">
        <v>1531</v>
      </c>
      <c r="M406" s="2" t="s">
        <v>1532</v>
      </c>
    </row>
    <row r="407" spans="1:14" ht="15" customHeight="1" x14ac:dyDescent="0.25">
      <c r="A407" s="2">
        <v>1361203</v>
      </c>
      <c r="B407" s="2" t="s">
        <v>1367</v>
      </c>
      <c r="C407" s="2" t="s">
        <v>224</v>
      </c>
      <c r="D407" s="2" t="s">
        <v>554</v>
      </c>
      <c r="E407" s="2" t="s">
        <v>1533</v>
      </c>
      <c r="F407" s="2" t="s">
        <v>295</v>
      </c>
      <c r="H407" s="2">
        <v>5</v>
      </c>
      <c r="I407" s="2">
        <v>3</v>
      </c>
      <c r="J407" s="2">
        <v>4</v>
      </c>
      <c r="L407" s="2" t="s">
        <v>251</v>
      </c>
      <c r="M407" s="2" t="s">
        <v>1534</v>
      </c>
    </row>
    <row r="408" spans="1:14" ht="15" customHeight="1" x14ac:dyDescent="0.25">
      <c r="A408" s="2">
        <v>1361301</v>
      </c>
      <c r="B408" s="2" t="s">
        <v>1367</v>
      </c>
      <c r="C408" s="2" t="s">
        <v>224</v>
      </c>
      <c r="D408" s="2" t="s">
        <v>556</v>
      </c>
      <c r="E408" s="2" t="s">
        <v>1535</v>
      </c>
      <c r="F408" s="2" t="s">
        <v>295</v>
      </c>
      <c r="H408" s="2">
        <v>5</v>
      </c>
      <c r="I408" s="2">
        <v>4</v>
      </c>
      <c r="J408" s="2">
        <v>4</v>
      </c>
      <c r="L408" s="2" t="s">
        <v>1536</v>
      </c>
    </row>
    <row r="409" spans="1:14" ht="15" customHeight="1" x14ac:dyDescent="0.25">
      <c r="A409" s="2">
        <v>1361302</v>
      </c>
      <c r="B409" s="2" t="s">
        <v>1367</v>
      </c>
      <c r="C409" s="2" t="s">
        <v>224</v>
      </c>
      <c r="D409" s="2" t="s">
        <v>556</v>
      </c>
      <c r="E409" s="2" t="s">
        <v>1537</v>
      </c>
      <c r="F409" s="2" t="s">
        <v>297</v>
      </c>
      <c r="H409" s="2">
        <v>1</v>
      </c>
      <c r="L409" s="2" t="s">
        <v>1538</v>
      </c>
    </row>
    <row r="410" spans="1:14" ht="15" customHeight="1" x14ac:dyDescent="0.25">
      <c r="A410" s="2">
        <v>1361303</v>
      </c>
      <c r="B410" s="2" t="s">
        <v>1367</v>
      </c>
      <c r="C410" s="2" t="s">
        <v>224</v>
      </c>
      <c r="D410" s="2" t="s">
        <v>556</v>
      </c>
      <c r="E410" s="2" t="s">
        <v>1539</v>
      </c>
      <c r="F410" s="2" t="s">
        <v>295</v>
      </c>
      <c r="H410" s="2">
        <v>3</v>
      </c>
      <c r="I410" s="2">
        <v>2</v>
      </c>
      <c r="J410" s="2">
        <v>2</v>
      </c>
      <c r="L410" s="2" t="s">
        <v>1540</v>
      </c>
    </row>
    <row r="411" spans="1:14" ht="15" customHeight="1" x14ac:dyDescent="0.25">
      <c r="A411" s="2">
        <v>1361401</v>
      </c>
      <c r="B411" s="2" t="s">
        <v>1367</v>
      </c>
      <c r="C411" s="2" t="s">
        <v>224</v>
      </c>
      <c r="D411" s="2" t="s">
        <v>558</v>
      </c>
      <c r="E411" s="2" t="s">
        <v>1541</v>
      </c>
      <c r="F411" s="2" t="s">
        <v>295</v>
      </c>
      <c r="H411" s="2">
        <v>2</v>
      </c>
      <c r="I411" s="2">
        <v>2</v>
      </c>
      <c r="J411" s="2">
        <v>2</v>
      </c>
      <c r="L411" s="2" t="s">
        <v>1542</v>
      </c>
    </row>
    <row r="412" spans="1:14" ht="15" customHeight="1" x14ac:dyDescent="0.25">
      <c r="A412" s="2">
        <v>1361402</v>
      </c>
      <c r="B412" s="2" t="s">
        <v>1367</v>
      </c>
      <c r="C412" s="2" t="s">
        <v>224</v>
      </c>
      <c r="D412" s="2" t="s">
        <v>558</v>
      </c>
      <c r="E412" s="2" t="s">
        <v>1543</v>
      </c>
      <c r="F412" s="2" t="s">
        <v>299</v>
      </c>
      <c r="H412" s="2">
        <v>2</v>
      </c>
      <c r="L412" s="2" t="s">
        <v>948</v>
      </c>
      <c r="M412" s="2" t="s">
        <v>1544</v>
      </c>
    </row>
    <row r="413" spans="1:14" ht="15" customHeight="1" x14ac:dyDescent="0.25">
      <c r="A413" s="2">
        <v>1361403</v>
      </c>
      <c r="B413" s="2" t="s">
        <v>1367</v>
      </c>
      <c r="C413" s="2" t="s">
        <v>224</v>
      </c>
      <c r="D413" s="2" t="s">
        <v>558</v>
      </c>
      <c r="E413" s="2" t="s">
        <v>1545</v>
      </c>
      <c r="F413" s="2" t="s">
        <v>295</v>
      </c>
      <c r="H413" s="2">
        <v>3</v>
      </c>
      <c r="I413" s="2">
        <v>2</v>
      </c>
      <c r="J413" s="2">
        <v>1</v>
      </c>
      <c r="L413" s="2" t="s">
        <v>257</v>
      </c>
      <c r="M413" s="2" t="s">
        <v>1546</v>
      </c>
    </row>
    <row r="414" spans="1:14" ht="15" customHeight="1" x14ac:dyDescent="0.25">
      <c r="A414" s="2">
        <v>1370101</v>
      </c>
      <c r="B414" s="2" t="s">
        <v>1367</v>
      </c>
      <c r="C414" s="2" t="s">
        <v>193</v>
      </c>
      <c r="D414" s="2" t="s">
        <v>552</v>
      </c>
      <c r="E414" s="2" t="s">
        <v>1547</v>
      </c>
      <c r="F414" s="2" t="s">
        <v>295</v>
      </c>
      <c r="G414" s="2" t="s">
        <v>670</v>
      </c>
      <c r="H414" s="2">
        <v>3</v>
      </c>
      <c r="I414" s="2">
        <v>6</v>
      </c>
      <c r="J414" s="2">
        <v>1</v>
      </c>
      <c r="L414" s="2" t="s">
        <v>249</v>
      </c>
      <c r="M414" s="2" t="s">
        <v>1548</v>
      </c>
    </row>
    <row r="415" spans="1:14" ht="15" customHeight="1" x14ac:dyDescent="0.25">
      <c r="A415" s="2">
        <v>1370301</v>
      </c>
      <c r="B415" s="2" t="s">
        <v>1367</v>
      </c>
      <c r="C415" s="2" t="s">
        <v>193</v>
      </c>
      <c r="D415" s="2" t="s">
        <v>556</v>
      </c>
      <c r="E415" s="2" t="s">
        <v>1549</v>
      </c>
      <c r="F415" s="2" t="s">
        <v>295</v>
      </c>
      <c r="G415" s="2" t="s">
        <v>670</v>
      </c>
      <c r="H415" s="2">
        <v>1</v>
      </c>
      <c r="I415" s="2">
        <v>1</v>
      </c>
      <c r="J415" s="2">
        <v>1</v>
      </c>
      <c r="L415" s="2" t="s">
        <v>253</v>
      </c>
      <c r="M415" s="2" t="s">
        <v>1550</v>
      </c>
    </row>
    <row r="416" spans="1:14" ht="15" customHeight="1" x14ac:dyDescent="0.25">
      <c r="A416" s="2">
        <v>1371101</v>
      </c>
      <c r="B416" s="2" t="s">
        <v>1367</v>
      </c>
      <c r="C416" s="2" t="s">
        <v>193</v>
      </c>
      <c r="D416" s="2" t="s">
        <v>552</v>
      </c>
      <c r="E416" s="2" t="s">
        <v>1551</v>
      </c>
      <c r="F416" s="2" t="s">
        <v>295</v>
      </c>
      <c r="H416" s="2">
        <v>6</v>
      </c>
      <c r="I416" s="2">
        <v>5</v>
      </c>
      <c r="J416" s="2">
        <v>4</v>
      </c>
      <c r="L416" s="2" t="s">
        <v>1552</v>
      </c>
      <c r="M416" s="2" t="s">
        <v>1317</v>
      </c>
    </row>
    <row r="417" spans="1:14" ht="15" customHeight="1" x14ac:dyDescent="0.25">
      <c r="A417" s="2">
        <v>1371102</v>
      </c>
      <c r="B417" s="2" t="s">
        <v>1367</v>
      </c>
      <c r="C417" s="2" t="s">
        <v>193</v>
      </c>
      <c r="D417" s="2" t="s">
        <v>552</v>
      </c>
      <c r="E417" s="2" t="s">
        <v>1553</v>
      </c>
      <c r="F417" s="2" t="s">
        <v>295</v>
      </c>
      <c r="H417" s="2">
        <v>5</v>
      </c>
      <c r="I417" s="2">
        <v>3</v>
      </c>
      <c r="J417" s="2">
        <v>3</v>
      </c>
      <c r="L417" s="2" t="s">
        <v>1554</v>
      </c>
      <c r="M417" s="2" t="s">
        <v>1555</v>
      </c>
    </row>
    <row r="418" spans="1:14" ht="15" customHeight="1" x14ac:dyDescent="0.25">
      <c r="A418" s="2">
        <v>1371201</v>
      </c>
      <c r="B418" s="2" t="s">
        <v>1367</v>
      </c>
      <c r="C418" s="2" t="s">
        <v>193</v>
      </c>
      <c r="D418" s="2" t="s">
        <v>554</v>
      </c>
      <c r="E418" s="2" t="s">
        <v>1556</v>
      </c>
      <c r="F418" s="2" t="s">
        <v>295</v>
      </c>
      <c r="H418" s="2">
        <v>2</v>
      </c>
      <c r="I418" s="2">
        <v>2</v>
      </c>
      <c r="J418" s="2">
        <v>2</v>
      </c>
      <c r="L418" s="2" t="s">
        <v>796</v>
      </c>
      <c r="M418" s="2" t="s">
        <v>1557</v>
      </c>
    </row>
    <row r="419" spans="1:14" ht="15" customHeight="1" x14ac:dyDescent="0.25">
      <c r="A419" s="2">
        <v>1371202</v>
      </c>
      <c r="B419" s="2" t="s">
        <v>1367</v>
      </c>
      <c r="C419" s="2" t="s">
        <v>193</v>
      </c>
      <c r="D419" s="2" t="s">
        <v>554</v>
      </c>
      <c r="E419" s="2" t="s">
        <v>1558</v>
      </c>
      <c r="F419" s="2" t="s">
        <v>297</v>
      </c>
      <c r="H419" s="2">
        <v>6</v>
      </c>
      <c r="L419" s="2" t="s">
        <v>1559</v>
      </c>
      <c r="M419" s="2" t="s">
        <v>1560</v>
      </c>
    </row>
    <row r="420" spans="1:14" ht="15" customHeight="1" x14ac:dyDescent="0.25">
      <c r="A420" s="2">
        <v>1371301</v>
      </c>
      <c r="B420" s="2" t="s">
        <v>1367</v>
      </c>
      <c r="C420" s="2" t="s">
        <v>193</v>
      </c>
      <c r="D420" s="2" t="s">
        <v>556</v>
      </c>
      <c r="E420" s="2" t="s">
        <v>1561</v>
      </c>
      <c r="F420" s="2" t="s">
        <v>297</v>
      </c>
      <c r="H420" s="2">
        <v>1</v>
      </c>
      <c r="L420" s="2" t="s">
        <v>1562</v>
      </c>
    </row>
    <row r="421" spans="1:14" ht="15" customHeight="1" x14ac:dyDescent="0.25">
      <c r="A421" s="2">
        <v>1371302</v>
      </c>
      <c r="B421" s="2" t="s">
        <v>1367</v>
      </c>
      <c r="C421" s="2" t="s">
        <v>193</v>
      </c>
      <c r="D421" s="2" t="s">
        <v>556</v>
      </c>
      <c r="E421" s="2" t="s">
        <v>1563</v>
      </c>
      <c r="F421" s="2" t="s">
        <v>295</v>
      </c>
      <c r="H421" s="2">
        <v>2</v>
      </c>
      <c r="I421" s="2">
        <v>1</v>
      </c>
      <c r="J421" s="2">
        <v>1</v>
      </c>
      <c r="L421" s="2" t="s">
        <v>1564</v>
      </c>
      <c r="M421" s="2" t="s">
        <v>255</v>
      </c>
    </row>
    <row r="422" spans="1:14" ht="15" customHeight="1" x14ac:dyDescent="0.25">
      <c r="A422" s="2">
        <v>1371303</v>
      </c>
      <c r="B422" s="2" t="s">
        <v>1367</v>
      </c>
      <c r="C422" s="2" t="s">
        <v>193</v>
      </c>
      <c r="D422" s="2" t="s">
        <v>556</v>
      </c>
      <c r="E422" s="2" t="s">
        <v>1565</v>
      </c>
      <c r="F422" s="2" t="s">
        <v>295</v>
      </c>
      <c r="H422" s="2">
        <v>5</v>
      </c>
      <c r="I422" s="2">
        <v>3</v>
      </c>
      <c r="J422" s="2">
        <v>3</v>
      </c>
      <c r="L422" s="2" t="s">
        <v>1566</v>
      </c>
    </row>
    <row r="423" spans="1:14" ht="15" customHeight="1" x14ac:dyDescent="0.25">
      <c r="A423" s="2">
        <v>1371401</v>
      </c>
      <c r="B423" s="2" t="s">
        <v>1367</v>
      </c>
      <c r="C423" s="2" t="s">
        <v>193</v>
      </c>
      <c r="D423" s="2" t="s">
        <v>558</v>
      </c>
      <c r="E423" s="2" t="s">
        <v>1567</v>
      </c>
      <c r="F423" s="2" t="s">
        <v>295</v>
      </c>
      <c r="H423" s="2">
        <v>6</v>
      </c>
      <c r="I423" s="2">
        <v>4</v>
      </c>
      <c r="J423" s="2">
        <v>5</v>
      </c>
      <c r="L423" s="2" t="s">
        <v>1568</v>
      </c>
      <c r="M423" s="2" t="s">
        <v>796</v>
      </c>
      <c r="N423" s="2" t="s">
        <v>692</v>
      </c>
    </row>
    <row r="424" spans="1:14" ht="15" customHeight="1" x14ac:dyDescent="0.25">
      <c r="A424" s="2">
        <v>1371402</v>
      </c>
      <c r="B424" s="2" t="s">
        <v>1367</v>
      </c>
      <c r="C424" s="2" t="s">
        <v>193</v>
      </c>
      <c r="D424" s="2" t="s">
        <v>558</v>
      </c>
      <c r="E424" s="2" t="s">
        <v>1569</v>
      </c>
      <c r="F424" s="2" t="s">
        <v>295</v>
      </c>
      <c r="H424" s="2">
        <v>2</v>
      </c>
      <c r="I424" s="2">
        <v>2</v>
      </c>
      <c r="J424" s="2">
        <v>2</v>
      </c>
      <c r="L424" s="2" t="s">
        <v>1570</v>
      </c>
    </row>
    <row r="425" spans="1:14" ht="15" customHeight="1" x14ac:dyDescent="0.25">
      <c r="A425" s="2">
        <v>1371403</v>
      </c>
      <c r="B425" s="2" t="s">
        <v>1367</v>
      </c>
      <c r="C425" s="2" t="s">
        <v>193</v>
      </c>
      <c r="D425" s="2" t="s">
        <v>558</v>
      </c>
      <c r="E425" s="2" t="s">
        <v>1571</v>
      </c>
      <c r="F425" s="2" t="s">
        <v>299</v>
      </c>
      <c r="H425" s="2">
        <v>2</v>
      </c>
      <c r="L425" s="2" t="s">
        <v>800</v>
      </c>
      <c r="M425" s="2" t="s">
        <v>1572</v>
      </c>
      <c r="N425" s="2" t="s">
        <v>1573</v>
      </c>
    </row>
    <row r="426" spans="1:14" ht="15" customHeight="1" x14ac:dyDescent="0.25">
      <c r="A426" s="2">
        <v>1401301</v>
      </c>
      <c r="B426" s="2" t="s">
        <v>1574</v>
      </c>
      <c r="C426" s="2" t="s">
        <v>225</v>
      </c>
      <c r="D426" s="2" t="s">
        <v>556</v>
      </c>
      <c r="E426" s="2" t="s">
        <v>1575</v>
      </c>
      <c r="F426" s="2" t="s">
        <v>297</v>
      </c>
      <c r="H426" s="2">
        <v>3</v>
      </c>
      <c r="L426" s="2" t="s">
        <v>1576</v>
      </c>
      <c r="M426" s="2" t="s">
        <v>1066</v>
      </c>
    </row>
    <row r="427" spans="1:14" ht="15" customHeight="1" x14ac:dyDescent="0.25">
      <c r="A427" s="2">
        <v>1401302</v>
      </c>
      <c r="B427" s="2" t="s">
        <v>1574</v>
      </c>
      <c r="C427" s="2" t="s">
        <v>225</v>
      </c>
      <c r="D427" s="2" t="s">
        <v>556</v>
      </c>
      <c r="E427" s="2" t="s">
        <v>1577</v>
      </c>
      <c r="F427" s="2" t="s">
        <v>295</v>
      </c>
      <c r="H427" s="2">
        <v>7</v>
      </c>
      <c r="I427" s="2">
        <v>10</v>
      </c>
      <c r="J427" s="2">
        <v>10</v>
      </c>
    </row>
    <row r="428" spans="1:14" ht="15" customHeight="1" x14ac:dyDescent="0.25">
      <c r="A428" s="2">
        <v>1401303</v>
      </c>
      <c r="B428" s="2" t="s">
        <v>1574</v>
      </c>
      <c r="C428" s="2" t="s">
        <v>225</v>
      </c>
      <c r="D428" s="2" t="s">
        <v>556</v>
      </c>
      <c r="E428" s="2" t="s">
        <v>1578</v>
      </c>
      <c r="F428" s="2" t="s">
        <v>295</v>
      </c>
      <c r="H428" s="2">
        <v>4</v>
      </c>
      <c r="I428" s="2">
        <v>5</v>
      </c>
      <c r="J428" s="2">
        <v>4</v>
      </c>
      <c r="L428" s="2" t="s">
        <v>1579</v>
      </c>
    </row>
    <row r="429" spans="1:14" ht="15" customHeight="1" x14ac:dyDescent="0.25">
      <c r="A429" s="2">
        <v>1401401</v>
      </c>
      <c r="B429" s="2" t="s">
        <v>1574</v>
      </c>
      <c r="C429" s="2" t="s">
        <v>225</v>
      </c>
      <c r="D429" s="2" t="s">
        <v>558</v>
      </c>
      <c r="E429" s="2" t="s">
        <v>1580</v>
      </c>
      <c r="F429" s="2" t="s">
        <v>299</v>
      </c>
      <c r="H429" s="2">
        <v>2</v>
      </c>
      <c r="L429" s="2" t="s">
        <v>693</v>
      </c>
      <c r="M429" s="2" t="s">
        <v>1581</v>
      </c>
    </row>
    <row r="430" spans="1:14" ht="15" customHeight="1" x14ac:dyDescent="0.25">
      <c r="A430" s="2">
        <v>1401402</v>
      </c>
      <c r="B430" s="2" t="s">
        <v>1574</v>
      </c>
      <c r="C430" s="2" t="s">
        <v>225</v>
      </c>
      <c r="D430" s="2" t="s">
        <v>558</v>
      </c>
      <c r="E430" s="2" t="s">
        <v>1582</v>
      </c>
      <c r="F430" s="2" t="s">
        <v>295</v>
      </c>
      <c r="H430" s="2">
        <v>2</v>
      </c>
      <c r="I430" s="2">
        <v>0</v>
      </c>
      <c r="J430" s="2">
        <v>2</v>
      </c>
      <c r="L430" s="2" t="s">
        <v>257</v>
      </c>
      <c r="M430" s="2" t="s">
        <v>729</v>
      </c>
      <c r="N430" s="2" t="s">
        <v>1046</v>
      </c>
    </row>
    <row r="431" spans="1:14" ht="15" customHeight="1" x14ac:dyDescent="0.25">
      <c r="A431" s="2">
        <v>1401403</v>
      </c>
      <c r="B431" s="2" t="s">
        <v>1574</v>
      </c>
      <c r="C431" s="2" t="s">
        <v>225</v>
      </c>
      <c r="D431" s="2" t="s">
        <v>558</v>
      </c>
      <c r="E431" s="2" t="s">
        <v>1583</v>
      </c>
      <c r="F431" s="2" t="s">
        <v>295</v>
      </c>
      <c r="H431" s="2">
        <v>4</v>
      </c>
      <c r="I431" s="2">
        <v>4</v>
      </c>
      <c r="J431" s="2">
        <v>5</v>
      </c>
      <c r="L431" s="2" t="s">
        <v>257</v>
      </c>
    </row>
    <row r="432" spans="1:14" ht="15" customHeight="1" x14ac:dyDescent="0.25">
      <c r="A432" s="2">
        <v>1401404</v>
      </c>
      <c r="B432" s="2" t="s">
        <v>1574</v>
      </c>
      <c r="C432" s="2" t="s">
        <v>225</v>
      </c>
      <c r="D432" s="2" t="s">
        <v>558</v>
      </c>
      <c r="E432" s="2" t="s">
        <v>1584</v>
      </c>
      <c r="F432" s="2" t="s">
        <v>295</v>
      </c>
      <c r="H432" s="2">
        <v>2</v>
      </c>
      <c r="I432" s="2">
        <v>2</v>
      </c>
      <c r="J432" s="2">
        <v>2</v>
      </c>
      <c r="L432" s="2" t="s">
        <v>1585</v>
      </c>
    </row>
    <row r="433" spans="1:14" ht="15" customHeight="1" x14ac:dyDescent="0.25">
      <c r="A433" s="2">
        <v>1411301</v>
      </c>
      <c r="B433" s="2" t="s">
        <v>1574</v>
      </c>
      <c r="C433" s="2" t="s">
        <v>216</v>
      </c>
      <c r="D433" s="2" t="s">
        <v>556</v>
      </c>
      <c r="E433" s="2" t="s">
        <v>1586</v>
      </c>
      <c r="F433" s="2" t="s">
        <v>295</v>
      </c>
      <c r="H433" s="2">
        <v>4</v>
      </c>
      <c r="I433" s="2">
        <v>5</v>
      </c>
      <c r="J433" s="2">
        <v>4</v>
      </c>
      <c r="L433" s="2" t="s">
        <v>1587</v>
      </c>
      <c r="M433" s="2" t="s">
        <v>1588</v>
      </c>
    </row>
    <row r="434" spans="1:14" ht="15" customHeight="1" x14ac:dyDescent="0.25">
      <c r="A434" s="2">
        <v>1411401</v>
      </c>
      <c r="B434" s="2" t="s">
        <v>1574</v>
      </c>
      <c r="C434" s="2" t="s">
        <v>216</v>
      </c>
      <c r="D434" s="2" t="s">
        <v>558</v>
      </c>
      <c r="E434" s="2" t="s">
        <v>1589</v>
      </c>
      <c r="F434" s="2" t="s">
        <v>295</v>
      </c>
      <c r="H434" s="2">
        <v>1</v>
      </c>
      <c r="I434" s="2">
        <v>1</v>
      </c>
      <c r="J434" s="2">
        <v>1</v>
      </c>
      <c r="L434" s="2" t="s">
        <v>1590</v>
      </c>
      <c r="M434" s="2" t="s">
        <v>1591</v>
      </c>
    </row>
    <row r="435" spans="1:14" ht="15" customHeight="1" x14ac:dyDescent="0.25">
      <c r="A435" s="2">
        <v>1411402</v>
      </c>
      <c r="B435" s="2" t="s">
        <v>1574</v>
      </c>
      <c r="C435" s="2" t="s">
        <v>216</v>
      </c>
      <c r="D435" s="2" t="s">
        <v>558</v>
      </c>
      <c r="E435" s="2" t="s">
        <v>1592</v>
      </c>
      <c r="F435" s="2" t="s">
        <v>297</v>
      </c>
      <c r="H435" s="2">
        <v>2</v>
      </c>
      <c r="L435" s="2" t="s">
        <v>1066</v>
      </c>
      <c r="M435" s="2" t="s">
        <v>1593</v>
      </c>
    </row>
    <row r="436" spans="1:14" ht="15" customHeight="1" x14ac:dyDescent="0.25">
      <c r="A436" s="2">
        <v>1411403</v>
      </c>
      <c r="B436" s="2" t="s">
        <v>1574</v>
      </c>
      <c r="C436" s="2" t="s">
        <v>216</v>
      </c>
      <c r="D436" s="2" t="s">
        <v>558</v>
      </c>
      <c r="E436" s="2" t="s">
        <v>1594</v>
      </c>
      <c r="F436" s="2" t="s">
        <v>297</v>
      </c>
      <c r="H436" s="2">
        <v>1</v>
      </c>
      <c r="L436" s="2" t="s">
        <v>1595</v>
      </c>
    </row>
    <row r="437" spans="1:14" ht="15" customHeight="1" x14ac:dyDescent="0.25">
      <c r="A437" s="2">
        <v>1411302</v>
      </c>
      <c r="B437" s="2" t="s">
        <v>1574</v>
      </c>
      <c r="C437" s="2" t="s">
        <v>216</v>
      </c>
      <c r="D437" s="2" t="s">
        <v>556</v>
      </c>
      <c r="E437" s="2" t="s">
        <v>1596</v>
      </c>
      <c r="F437" s="2" t="s">
        <v>299</v>
      </c>
      <c r="H437" s="2">
        <v>2</v>
      </c>
      <c r="K437" s="2">
        <v>3</v>
      </c>
      <c r="L437" s="2" t="s">
        <v>1597</v>
      </c>
      <c r="M437" s="2" t="s">
        <v>1598</v>
      </c>
    </row>
    <row r="438" spans="1:14" ht="15" customHeight="1" x14ac:dyDescent="0.25">
      <c r="A438" s="2">
        <v>1411303</v>
      </c>
      <c r="B438" s="2" t="s">
        <v>1574</v>
      </c>
      <c r="C438" s="2" t="s">
        <v>216</v>
      </c>
      <c r="D438" s="2" t="s">
        <v>556</v>
      </c>
      <c r="E438" s="2" t="s">
        <v>1599</v>
      </c>
      <c r="F438" s="2" t="s">
        <v>295</v>
      </c>
      <c r="H438" s="2">
        <v>1</v>
      </c>
      <c r="I438" s="2">
        <v>1</v>
      </c>
      <c r="J438" s="2">
        <v>1</v>
      </c>
      <c r="L438" s="2" t="s">
        <v>1600</v>
      </c>
    </row>
    <row r="439" spans="1:14" ht="15" customHeight="1" x14ac:dyDescent="0.25">
      <c r="A439" s="2">
        <v>1411404</v>
      </c>
      <c r="B439" s="2" t="s">
        <v>1574</v>
      </c>
      <c r="C439" s="2" t="s">
        <v>216</v>
      </c>
      <c r="D439" s="2" t="s">
        <v>558</v>
      </c>
      <c r="E439" s="2" t="s">
        <v>1601</v>
      </c>
      <c r="F439" s="2" t="s">
        <v>299</v>
      </c>
      <c r="H439" s="2">
        <v>2</v>
      </c>
      <c r="L439" s="2" t="s">
        <v>693</v>
      </c>
      <c r="M439" s="2" t="s">
        <v>1602</v>
      </c>
    </row>
    <row r="440" spans="1:14" ht="15" customHeight="1" x14ac:dyDescent="0.25">
      <c r="A440" s="2">
        <v>1421401</v>
      </c>
      <c r="B440" s="2" t="s">
        <v>1574</v>
      </c>
      <c r="C440" s="2" t="s">
        <v>218</v>
      </c>
      <c r="D440" s="2" t="s">
        <v>558</v>
      </c>
      <c r="E440" s="2" t="s">
        <v>105</v>
      </c>
      <c r="F440" s="2" t="s">
        <v>295</v>
      </c>
      <c r="H440" s="2">
        <v>1</v>
      </c>
      <c r="I440" s="2">
        <v>1</v>
      </c>
      <c r="J440" s="2">
        <v>1</v>
      </c>
      <c r="L440" s="2" t="s">
        <v>251</v>
      </c>
    </row>
    <row r="441" spans="1:14" ht="15" customHeight="1" x14ac:dyDescent="0.25">
      <c r="A441" s="2">
        <v>1421402</v>
      </c>
      <c r="B441" s="2" t="s">
        <v>1574</v>
      </c>
      <c r="C441" s="2" t="s">
        <v>218</v>
      </c>
      <c r="D441" s="2" t="s">
        <v>558</v>
      </c>
      <c r="E441" s="2" t="s">
        <v>1603</v>
      </c>
      <c r="F441" s="2" t="s">
        <v>297</v>
      </c>
      <c r="H441" s="2">
        <v>2</v>
      </c>
      <c r="L441" s="2" t="s">
        <v>1604</v>
      </c>
    </row>
    <row r="442" spans="1:14" ht="15" customHeight="1" x14ac:dyDescent="0.25">
      <c r="A442" s="2">
        <v>1421404</v>
      </c>
      <c r="B442" s="2" t="s">
        <v>1574</v>
      </c>
      <c r="C442" s="2" t="s">
        <v>218</v>
      </c>
      <c r="D442" s="2" t="s">
        <v>558</v>
      </c>
      <c r="E442" s="2" t="s">
        <v>1606</v>
      </c>
      <c r="F442" s="2" t="s">
        <v>295</v>
      </c>
      <c r="H442" s="2">
        <v>4</v>
      </c>
      <c r="I442" s="2">
        <v>3</v>
      </c>
      <c r="J442" s="2">
        <v>4</v>
      </c>
      <c r="L442" s="2" t="s">
        <v>1607</v>
      </c>
      <c r="M442" s="2" t="s">
        <v>253</v>
      </c>
    </row>
    <row r="443" spans="1:14" ht="15" customHeight="1" x14ac:dyDescent="0.25">
      <c r="A443" s="2">
        <v>1431301</v>
      </c>
      <c r="B443" s="2" t="s">
        <v>1574</v>
      </c>
      <c r="C443" s="2" t="s">
        <v>219</v>
      </c>
      <c r="D443" s="2" t="s">
        <v>556</v>
      </c>
      <c r="E443" s="2" t="s">
        <v>1611</v>
      </c>
      <c r="F443" s="2" t="s">
        <v>295</v>
      </c>
      <c r="H443" s="2">
        <v>4</v>
      </c>
      <c r="I443" s="2">
        <v>4</v>
      </c>
      <c r="J443" s="2">
        <v>4</v>
      </c>
      <c r="L443" s="2" t="s">
        <v>1612</v>
      </c>
      <c r="M443" s="2" t="s">
        <v>1613</v>
      </c>
      <c r="N443" s="2" t="s">
        <v>1614</v>
      </c>
    </row>
    <row r="444" spans="1:14" ht="15" customHeight="1" x14ac:dyDescent="0.25">
      <c r="A444" s="2">
        <v>1431401</v>
      </c>
      <c r="B444" s="2" t="s">
        <v>1574</v>
      </c>
      <c r="C444" s="2" t="s">
        <v>219</v>
      </c>
      <c r="D444" s="2" t="s">
        <v>558</v>
      </c>
      <c r="E444" s="2" t="s">
        <v>112</v>
      </c>
      <c r="F444" s="2" t="s">
        <v>299</v>
      </c>
      <c r="G444" s="2" t="s">
        <v>401</v>
      </c>
      <c r="H444" s="2">
        <v>1</v>
      </c>
      <c r="L444" s="2" t="s">
        <v>892</v>
      </c>
      <c r="M444" s="2" t="s">
        <v>731</v>
      </c>
    </row>
    <row r="445" spans="1:14" ht="15" customHeight="1" x14ac:dyDescent="0.25">
      <c r="A445" s="2">
        <v>1431402</v>
      </c>
      <c r="B445" s="2" t="s">
        <v>1574</v>
      </c>
      <c r="C445" s="2" t="s">
        <v>219</v>
      </c>
      <c r="D445" s="2" t="s">
        <v>558</v>
      </c>
      <c r="E445" s="2" t="s">
        <v>107</v>
      </c>
      <c r="F445" s="2" t="s">
        <v>297</v>
      </c>
      <c r="H445" s="2">
        <v>1</v>
      </c>
      <c r="L445" s="2" t="s">
        <v>1066</v>
      </c>
    </row>
    <row r="446" spans="1:14" ht="15" customHeight="1" x14ac:dyDescent="0.25">
      <c r="A446" s="2">
        <v>1431404</v>
      </c>
      <c r="B446" s="2" t="s">
        <v>1574</v>
      </c>
      <c r="C446" s="2" t="s">
        <v>219</v>
      </c>
      <c r="D446" s="2" t="s">
        <v>558</v>
      </c>
      <c r="E446" s="2" t="s">
        <v>1615</v>
      </c>
      <c r="F446" s="2" t="s">
        <v>297</v>
      </c>
      <c r="H446" s="2">
        <v>2</v>
      </c>
      <c r="L446" s="2" t="s">
        <v>1616</v>
      </c>
    </row>
    <row r="447" spans="1:14" ht="15" customHeight="1" x14ac:dyDescent="0.25">
      <c r="A447" s="2">
        <v>1431403</v>
      </c>
      <c r="B447" s="2" t="s">
        <v>1574</v>
      </c>
      <c r="C447" s="2" t="s">
        <v>219</v>
      </c>
      <c r="D447" s="2" t="s">
        <v>558</v>
      </c>
      <c r="E447" s="2" t="s">
        <v>1617</v>
      </c>
      <c r="F447" s="2" t="s">
        <v>297</v>
      </c>
      <c r="H447" s="2">
        <v>1</v>
      </c>
      <c r="L447" s="2" t="s">
        <v>1150</v>
      </c>
      <c r="M447" s="2" t="s">
        <v>1177</v>
      </c>
    </row>
    <row r="448" spans="1:14" ht="15" customHeight="1" x14ac:dyDescent="0.25">
      <c r="A448" s="2">
        <v>1431302</v>
      </c>
      <c r="B448" s="2" t="s">
        <v>1574</v>
      </c>
      <c r="C448" s="2" t="s">
        <v>219</v>
      </c>
      <c r="D448" s="2" t="s">
        <v>556</v>
      </c>
      <c r="E448" s="2" t="s">
        <v>1618</v>
      </c>
      <c r="F448" s="2" t="s">
        <v>295</v>
      </c>
      <c r="H448" s="2">
        <v>10</v>
      </c>
      <c r="I448" s="2">
        <v>8</v>
      </c>
      <c r="J448" s="2">
        <v>6</v>
      </c>
      <c r="L448" s="2" t="s">
        <v>1145</v>
      </c>
    </row>
    <row r="449" spans="1:13" ht="15" customHeight="1" x14ac:dyDescent="0.25">
      <c r="A449" s="2">
        <v>1431303</v>
      </c>
      <c r="B449" s="2" t="s">
        <v>1574</v>
      </c>
      <c r="C449" s="2" t="s">
        <v>219</v>
      </c>
      <c r="D449" s="2" t="s">
        <v>556</v>
      </c>
      <c r="E449" s="2" t="s">
        <v>1619</v>
      </c>
      <c r="F449" s="2" t="s">
        <v>295</v>
      </c>
      <c r="H449" s="2">
        <v>2</v>
      </c>
      <c r="I449" s="2">
        <v>2</v>
      </c>
      <c r="J449" s="2">
        <v>2</v>
      </c>
      <c r="L449" s="2" t="s">
        <v>1620</v>
      </c>
    </row>
    <row r="450" spans="1:13" ht="15" customHeight="1" x14ac:dyDescent="0.25">
      <c r="A450" s="2">
        <v>1440401</v>
      </c>
      <c r="B450" s="2" t="s">
        <v>1574</v>
      </c>
      <c r="C450" s="2" t="s">
        <v>220</v>
      </c>
      <c r="D450" s="2" t="s">
        <v>558</v>
      </c>
      <c r="E450" s="2" t="s">
        <v>1621</v>
      </c>
      <c r="F450" s="2" t="s">
        <v>295</v>
      </c>
      <c r="H450" s="2">
        <v>1</v>
      </c>
      <c r="I450" s="2">
        <v>1</v>
      </c>
      <c r="J450" s="2">
        <v>1</v>
      </c>
    </row>
    <row r="451" spans="1:13" ht="15" customHeight="1" x14ac:dyDescent="0.25">
      <c r="A451" s="2">
        <v>1441301</v>
      </c>
      <c r="B451" s="2" t="s">
        <v>1574</v>
      </c>
      <c r="C451" s="2" t="s">
        <v>220</v>
      </c>
      <c r="D451" s="2" t="s">
        <v>556</v>
      </c>
      <c r="E451" s="2" t="s">
        <v>1622</v>
      </c>
      <c r="F451" s="2" t="s">
        <v>295</v>
      </c>
      <c r="H451" s="2">
        <v>3</v>
      </c>
      <c r="I451" s="2">
        <v>1</v>
      </c>
      <c r="J451" s="2">
        <v>3</v>
      </c>
      <c r="L451" s="2" t="s">
        <v>1623</v>
      </c>
    </row>
    <row r="452" spans="1:13" ht="15" customHeight="1" x14ac:dyDescent="0.25">
      <c r="A452" s="2">
        <v>1441302</v>
      </c>
      <c r="B452" s="2" t="s">
        <v>1574</v>
      </c>
      <c r="C452" s="2" t="s">
        <v>220</v>
      </c>
      <c r="D452" s="2" t="s">
        <v>556</v>
      </c>
      <c r="E452" s="2" t="s">
        <v>1624</v>
      </c>
      <c r="F452" s="2" t="s">
        <v>297</v>
      </c>
      <c r="H452" s="2">
        <v>3</v>
      </c>
      <c r="L452" s="2" t="s">
        <v>1625</v>
      </c>
    </row>
    <row r="453" spans="1:13" ht="15" customHeight="1" x14ac:dyDescent="0.25">
      <c r="A453" s="2">
        <v>1441303</v>
      </c>
      <c r="B453" s="2" t="s">
        <v>1574</v>
      </c>
      <c r="C453" s="2" t="s">
        <v>220</v>
      </c>
      <c r="D453" s="2" t="s">
        <v>556</v>
      </c>
      <c r="E453" s="2" t="s">
        <v>1626</v>
      </c>
      <c r="F453" s="2" t="s">
        <v>295</v>
      </c>
      <c r="H453" s="2">
        <v>4</v>
      </c>
      <c r="I453" s="2">
        <v>4</v>
      </c>
      <c r="J453" s="2">
        <v>5</v>
      </c>
      <c r="L453" s="2" t="s">
        <v>749</v>
      </c>
    </row>
    <row r="454" spans="1:13" ht="15" customHeight="1" x14ac:dyDescent="0.25">
      <c r="A454" s="2">
        <v>1441401</v>
      </c>
      <c r="B454" s="2" t="s">
        <v>1574</v>
      </c>
      <c r="C454" s="2" t="s">
        <v>220</v>
      </c>
      <c r="D454" s="2" t="s">
        <v>558</v>
      </c>
      <c r="E454" s="2" t="s">
        <v>1627</v>
      </c>
      <c r="F454" s="2" t="s">
        <v>297</v>
      </c>
      <c r="H454" s="2">
        <v>1</v>
      </c>
      <c r="L454" s="2" t="s">
        <v>1628</v>
      </c>
    </row>
    <row r="455" spans="1:13" ht="15" customHeight="1" x14ac:dyDescent="0.25">
      <c r="A455" s="2">
        <v>1441402</v>
      </c>
      <c r="B455" s="2" t="s">
        <v>1574</v>
      </c>
      <c r="C455" s="2" t="s">
        <v>220</v>
      </c>
      <c r="D455" s="2" t="s">
        <v>558</v>
      </c>
      <c r="E455" s="2" t="s">
        <v>1629</v>
      </c>
      <c r="F455" s="2" t="s">
        <v>295</v>
      </c>
      <c r="H455" s="2">
        <v>2</v>
      </c>
      <c r="I455" s="2">
        <v>2</v>
      </c>
      <c r="J455" s="2">
        <v>2</v>
      </c>
      <c r="L455" s="2" t="s">
        <v>1630</v>
      </c>
    </row>
    <row r="456" spans="1:13" ht="15" customHeight="1" x14ac:dyDescent="0.25">
      <c r="A456" s="2">
        <v>1441403</v>
      </c>
      <c r="B456" s="2" t="s">
        <v>1574</v>
      </c>
      <c r="C456" s="2" t="s">
        <v>220</v>
      </c>
      <c r="D456" s="2" t="s">
        <v>558</v>
      </c>
      <c r="E456" s="2" t="s">
        <v>1631</v>
      </c>
      <c r="F456" s="2" t="s">
        <v>297</v>
      </c>
      <c r="H456" s="2">
        <v>5</v>
      </c>
      <c r="L456" s="2" t="s">
        <v>1632</v>
      </c>
    </row>
    <row r="457" spans="1:13" ht="15" customHeight="1" x14ac:dyDescent="0.25">
      <c r="A457" s="2">
        <v>1441404</v>
      </c>
      <c r="B457" s="2" t="s">
        <v>1574</v>
      </c>
      <c r="C457" s="2" t="s">
        <v>220</v>
      </c>
      <c r="D457" s="2" t="s">
        <v>558</v>
      </c>
      <c r="E457" s="2" t="s">
        <v>1633</v>
      </c>
      <c r="F457" s="2" t="s">
        <v>295</v>
      </c>
      <c r="H457" s="2">
        <v>8</v>
      </c>
      <c r="I457" s="2">
        <v>6</v>
      </c>
      <c r="J457" s="2">
        <v>6</v>
      </c>
      <c r="L457" s="2" t="s">
        <v>1008</v>
      </c>
    </row>
    <row r="458" spans="1:13" ht="15" customHeight="1" x14ac:dyDescent="0.25">
      <c r="A458" s="2">
        <v>1451402</v>
      </c>
      <c r="B458" s="2" t="s">
        <v>1574</v>
      </c>
      <c r="C458" s="2" t="s">
        <v>222</v>
      </c>
      <c r="D458" s="2" t="s">
        <v>558</v>
      </c>
      <c r="E458" s="2" t="s">
        <v>1635</v>
      </c>
      <c r="F458" s="2" t="s">
        <v>295</v>
      </c>
      <c r="H458" s="2">
        <v>2</v>
      </c>
      <c r="I458" s="2">
        <v>2</v>
      </c>
      <c r="J458" s="2">
        <v>2</v>
      </c>
      <c r="L458" s="2" t="s">
        <v>1288</v>
      </c>
      <c r="M458" s="2" t="s">
        <v>1636</v>
      </c>
    </row>
    <row r="459" spans="1:13" ht="15" customHeight="1" x14ac:dyDescent="0.25">
      <c r="A459" s="2">
        <v>1451301</v>
      </c>
      <c r="B459" s="2" t="s">
        <v>1574</v>
      </c>
      <c r="C459" s="2" t="s">
        <v>222</v>
      </c>
      <c r="D459" s="2" t="s">
        <v>556</v>
      </c>
      <c r="E459" s="2" t="s">
        <v>1637</v>
      </c>
      <c r="F459" s="2" t="s">
        <v>297</v>
      </c>
      <c r="H459" s="2">
        <v>1</v>
      </c>
      <c r="L459" s="2" t="s">
        <v>759</v>
      </c>
      <c r="M459" s="2" t="s">
        <v>760</v>
      </c>
    </row>
    <row r="460" spans="1:13" ht="15" customHeight="1" x14ac:dyDescent="0.25">
      <c r="A460" s="2">
        <v>1451302</v>
      </c>
      <c r="B460" s="2" t="s">
        <v>1574</v>
      </c>
      <c r="C460" s="2" t="s">
        <v>222</v>
      </c>
      <c r="D460" s="2" t="s">
        <v>556</v>
      </c>
      <c r="E460" s="2" t="s">
        <v>1638</v>
      </c>
      <c r="F460" s="2" t="s">
        <v>295</v>
      </c>
      <c r="H460" s="2">
        <v>4</v>
      </c>
      <c r="I460" s="2">
        <v>5</v>
      </c>
      <c r="J460" s="2">
        <v>4</v>
      </c>
      <c r="L460" s="2" t="s">
        <v>1639</v>
      </c>
      <c r="M460" s="2" t="s">
        <v>1640</v>
      </c>
    </row>
    <row r="461" spans="1:13" ht="15" customHeight="1" x14ac:dyDescent="0.25">
      <c r="A461" s="2">
        <v>1451403</v>
      </c>
      <c r="B461" s="2" t="s">
        <v>1574</v>
      </c>
      <c r="C461" s="2" t="s">
        <v>222</v>
      </c>
      <c r="D461" s="2" t="s">
        <v>558</v>
      </c>
      <c r="E461" s="2" t="s">
        <v>1641</v>
      </c>
      <c r="F461" s="2" t="s">
        <v>297</v>
      </c>
      <c r="H461" s="2">
        <v>2</v>
      </c>
      <c r="L461" s="2" t="s">
        <v>1642</v>
      </c>
    </row>
    <row r="462" spans="1:13" ht="15" customHeight="1" x14ac:dyDescent="0.25">
      <c r="A462" s="2">
        <v>1451404</v>
      </c>
      <c r="B462" s="2" t="s">
        <v>1574</v>
      </c>
      <c r="C462" s="2" t="s">
        <v>222</v>
      </c>
      <c r="D462" s="2" t="s">
        <v>558</v>
      </c>
      <c r="E462" s="2" t="s">
        <v>1643</v>
      </c>
      <c r="F462" s="2" t="s">
        <v>295</v>
      </c>
      <c r="H462" s="2">
        <v>2</v>
      </c>
      <c r="I462" s="2">
        <v>2</v>
      </c>
      <c r="J462" s="2">
        <v>2</v>
      </c>
      <c r="L462" s="2" t="s">
        <v>1644</v>
      </c>
    </row>
    <row r="463" spans="1:13" ht="15" customHeight="1" x14ac:dyDescent="0.25">
      <c r="A463" s="2">
        <v>1451303</v>
      </c>
      <c r="B463" s="2" t="s">
        <v>1574</v>
      </c>
      <c r="C463" s="2" t="s">
        <v>222</v>
      </c>
      <c r="D463" s="2" t="s">
        <v>556</v>
      </c>
      <c r="E463" s="2" t="s">
        <v>1645</v>
      </c>
      <c r="F463" s="2" t="s">
        <v>295</v>
      </c>
      <c r="H463" s="2">
        <v>1</v>
      </c>
      <c r="I463" s="2">
        <v>1</v>
      </c>
      <c r="J463" s="2">
        <v>1</v>
      </c>
      <c r="L463" s="2" t="s">
        <v>1274</v>
      </c>
    </row>
    <row r="464" spans="1:13" ht="15" customHeight="1" x14ac:dyDescent="0.25">
      <c r="A464" s="2">
        <v>1461401</v>
      </c>
      <c r="B464" s="2" t="s">
        <v>1574</v>
      </c>
      <c r="C464" s="2" t="s">
        <v>224</v>
      </c>
      <c r="D464" s="2" t="s">
        <v>558</v>
      </c>
      <c r="E464" s="2" t="s">
        <v>1646</v>
      </c>
      <c r="F464" s="2" t="s">
        <v>295</v>
      </c>
      <c r="H464" s="2">
        <v>4</v>
      </c>
      <c r="I464" s="2">
        <v>3</v>
      </c>
      <c r="J464" s="2">
        <v>5</v>
      </c>
      <c r="L464" s="2" t="s">
        <v>1647</v>
      </c>
      <c r="M464" s="2" t="s">
        <v>692</v>
      </c>
    </row>
    <row r="465" spans="1:14" ht="15" customHeight="1" x14ac:dyDescent="0.25">
      <c r="A465" s="2">
        <v>1461301</v>
      </c>
      <c r="B465" s="2" t="s">
        <v>1574</v>
      </c>
      <c r="C465" s="2" t="s">
        <v>224</v>
      </c>
      <c r="D465" s="2" t="s">
        <v>556</v>
      </c>
      <c r="E465" s="2" t="s">
        <v>1648</v>
      </c>
      <c r="F465" s="2" t="s">
        <v>295</v>
      </c>
      <c r="H465" s="2">
        <v>4</v>
      </c>
      <c r="I465" s="2">
        <v>4</v>
      </c>
      <c r="J465" s="2">
        <v>5</v>
      </c>
      <c r="L465" s="2" t="s">
        <v>893</v>
      </c>
    </row>
    <row r="466" spans="1:14" ht="15" customHeight="1" x14ac:dyDescent="0.25">
      <c r="A466" s="2">
        <v>1461402</v>
      </c>
      <c r="B466" s="2" t="s">
        <v>1574</v>
      </c>
      <c r="C466" s="2" t="s">
        <v>224</v>
      </c>
      <c r="D466" s="2" t="s">
        <v>558</v>
      </c>
      <c r="E466" s="2" t="s">
        <v>142</v>
      </c>
      <c r="F466" s="2" t="s">
        <v>299</v>
      </c>
      <c r="H466" s="2">
        <v>4</v>
      </c>
      <c r="K466" s="2">
        <v>2</v>
      </c>
      <c r="L466" s="2" t="s">
        <v>1907</v>
      </c>
      <c r="M466" s="2" t="s">
        <v>1650</v>
      </c>
    </row>
    <row r="467" spans="1:14" ht="15" customHeight="1" x14ac:dyDescent="0.25">
      <c r="A467" s="2">
        <v>1461403</v>
      </c>
      <c r="B467" s="2" t="s">
        <v>1574</v>
      </c>
      <c r="C467" s="2" t="s">
        <v>224</v>
      </c>
      <c r="D467" s="2" t="s">
        <v>558</v>
      </c>
      <c r="E467" s="2" t="s">
        <v>1651</v>
      </c>
      <c r="F467" s="2" t="s">
        <v>295</v>
      </c>
      <c r="H467" s="2">
        <v>2</v>
      </c>
      <c r="I467" s="2">
        <v>1</v>
      </c>
      <c r="J467" s="2">
        <v>3</v>
      </c>
      <c r="L467" s="2" t="s">
        <v>257</v>
      </c>
      <c r="M467" s="2" t="s">
        <v>263</v>
      </c>
    </row>
    <row r="468" spans="1:14" ht="15" customHeight="1" x14ac:dyDescent="0.25">
      <c r="A468" s="2">
        <v>1470402</v>
      </c>
      <c r="B468" s="2" t="s">
        <v>1574</v>
      </c>
      <c r="C468" s="2" t="s">
        <v>193</v>
      </c>
      <c r="D468" s="2" t="s">
        <v>558</v>
      </c>
      <c r="E468" s="2" t="s">
        <v>1652</v>
      </c>
      <c r="F468" s="2" t="s">
        <v>295</v>
      </c>
      <c r="G468" s="2" t="s">
        <v>671</v>
      </c>
      <c r="H468" s="2">
        <v>0</v>
      </c>
      <c r="I468" s="2">
        <v>1</v>
      </c>
      <c r="J468" s="2">
        <v>1</v>
      </c>
      <c r="L468" s="2" t="s">
        <v>729</v>
      </c>
    </row>
    <row r="469" spans="1:14" ht="15" customHeight="1" x14ac:dyDescent="0.25">
      <c r="A469" s="2">
        <v>1470401</v>
      </c>
      <c r="B469" s="2" t="s">
        <v>1574</v>
      </c>
      <c r="C469" s="2" t="s">
        <v>193</v>
      </c>
      <c r="D469" s="2" t="s">
        <v>558</v>
      </c>
      <c r="E469" s="2" t="s">
        <v>1653</v>
      </c>
      <c r="F469" s="2" t="s">
        <v>295</v>
      </c>
      <c r="G469" s="2" t="s">
        <v>671</v>
      </c>
      <c r="H469" s="2">
        <v>0</v>
      </c>
      <c r="I469" s="2">
        <v>3</v>
      </c>
      <c r="J469" s="2">
        <v>1</v>
      </c>
      <c r="L469" s="2" t="s">
        <v>249</v>
      </c>
    </row>
    <row r="470" spans="1:14" ht="15" customHeight="1" x14ac:dyDescent="0.25">
      <c r="A470" s="2">
        <v>1470403</v>
      </c>
      <c r="B470" s="2" t="s">
        <v>1574</v>
      </c>
      <c r="C470" s="2" t="s">
        <v>193</v>
      </c>
      <c r="D470" s="2" t="s">
        <v>558</v>
      </c>
      <c r="E470" s="2" t="s">
        <v>1654</v>
      </c>
      <c r="F470" s="2" t="s">
        <v>295</v>
      </c>
      <c r="G470" s="2" t="s">
        <v>671</v>
      </c>
      <c r="H470" s="2">
        <v>0</v>
      </c>
      <c r="I470" s="2">
        <v>1</v>
      </c>
      <c r="J470" s="2">
        <v>4</v>
      </c>
      <c r="L470" s="2" t="s">
        <v>257</v>
      </c>
    </row>
    <row r="471" spans="1:14" ht="15" customHeight="1" x14ac:dyDescent="0.25">
      <c r="A471" s="2">
        <v>1471302</v>
      </c>
      <c r="B471" s="2" t="s">
        <v>1574</v>
      </c>
      <c r="C471" s="2" t="s">
        <v>193</v>
      </c>
      <c r="D471" s="2" t="s">
        <v>556</v>
      </c>
      <c r="E471" s="2" t="s">
        <v>134</v>
      </c>
      <c r="F471" s="2" t="s">
        <v>299</v>
      </c>
      <c r="H471" s="2">
        <v>2</v>
      </c>
      <c r="K471" s="2">
        <v>2</v>
      </c>
      <c r="L471" s="2" t="s">
        <v>1346</v>
      </c>
      <c r="M471" s="2" t="s">
        <v>1655</v>
      </c>
    </row>
    <row r="472" spans="1:14" ht="15" customHeight="1" x14ac:dyDescent="0.25">
      <c r="A472" s="2">
        <v>1471403</v>
      </c>
      <c r="B472" s="2" t="s">
        <v>1574</v>
      </c>
      <c r="C472" s="2" t="s">
        <v>193</v>
      </c>
      <c r="D472" s="2" t="s">
        <v>558</v>
      </c>
      <c r="E472" s="2" t="s">
        <v>104</v>
      </c>
      <c r="F472" s="2" t="s">
        <v>295</v>
      </c>
      <c r="H472" s="2">
        <v>2</v>
      </c>
      <c r="I472" s="2">
        <v>2</v>
      </c>
      <c r="J472" s="2">
        <v>1</v>
      </c>
      <c r="L472" s="2" t="s">
        <v>1365</v>
      </c>
    </row>
    <row r="473" spans="1:14" ht="15" customHeight="1" x14ac:dyDescent="0.25">
      <c r="A473" s="2">
        <v>1470301</v>
      </c>
      <c r="B473" s="2" t="s">
        <v>1574</v>
      </c>
      <c r="C473" s="2" t="s">
        <v>193</v>
      </c>
      <c r="D473" s="2" t="s">
        <v>556</v>
      </c>
      <c r="E473" s="2" t="s">
        <v>1656</v>
      </c>
      <c r="F473" s="2" t="s">
        <v>398</v>
      </c>
      <c r="H473" s="2">
        <v>0</v>
      </c>
      <c r="K473" s="2">
        <v>1</v>
      </c>
      <c r="L473" s="2" t="s">
        <v>1657</v>
      </c>
    </row>
    <row r="474" spans="1:14" ht="15" customHeight="1" x14ac:dyDescent="0.25">
      <c r="A474" s="2">
        <v>1471303</v>
      </c>
      <c r="B474" s="2" t="s">
        <v>1574</v>
      </c>
      <c r="C474" s="2" t="s">
        <v>193</v>
      </c>
      <c r="D474" s="2" t="s">
        <v>556</v>
      </c>
      <c r="E474" s="2" t="s">
        <v>118</v>
      </c>
      <c r="F474" s="2" t="s">
        <v>299</v>
      </c>
      <c r="H474" s="2">
        <v>1</v>
      </c>
      <c r="L474" s="2" t="s">
        <v>693</v>
      </c>
      <c r="M474" s="2" t="s">
        <v>1658</v>
      </c>
    </row>
    <row r="475" spans="1:14" ht="15" customHeight="1" x14ac:dyDescent="0.25">
      <c r="A475" s="2">
        <v>1471304</v>
      </c>
      <c r="B475" s="2" t="s">
        <v>1574</v>
      </c>
      <c r="C475" s="2" t="s">
        <v>193</v>
      </c>
      <c r="D475" s="2" t="s">
        <v>556</v>
      </c>
      <c r="E475" s="2" t="s">
        <v>1659</v>
      </c>
      <c r="F475" s="2" t="s">
        <v>295</v>
      </c>
      <c r="H475" s="2">
        <v>4</v>
      </c>
      <c r="I475" s="2">
        <v>5</v>
      </c>
      <c r="J475" s="2">
        <v>4</v>
      </c>
      <c r="L475" s="2" t="s">
        <v>1660</v>
      </c>
    </row>
    <row r="476" spans="1:14" ht="15" customHeight="1" x14ac:dyDescent="0.25">
      <c r="A476" s="2">
        <v>1471404</v>
      </c>
      <c r="B476" s="2" t="s">
        <v>1574</v>
      </c>
      <c r="C476" s="2" t="s">
        <v>193</v>
      </c>
      <c r="D476" s="2" t="s">
        <v>558</v>
      </c>
      <c r="E476" s="2" t="s">
        <v>143</v>
      </c>
      <c r="F476" s="2" t="s">
        <v>295</v>
      </c>
      <c r="H476" s="2">
        <v>3</v>
      </c>
      <c r="I476" s="2">
        <v>2</v>
      </c>
      <c r="J476" s="2">
        <v>3</v>
      </c>
      <c r="L476" s="2" t="s">
        <v>1661</v>
      </c>
    </row>
    <row r="477" spans="1:14" ht="15" customHeight="1" x14ac:dyDescent="0.25">
      <c r="A477" s="2">
        <v>1471401</v>
      </c>
      <c r="B477" s="2" t="s">
        <v>1574</v>
      </c>
      <c r="C477" s="2" t="s">
        <v>193</v>
      </c>
      <c r="D477" s="2" t="s">
        <v>558</v>
      </c>
      <c r="E477" s="2" t="s">
        <v>1662</v>
      </c>
      <c r="F477" s="2" t="s">
        <v>297</v>
      </c>
      <c r="H477" s="2">
        <v>6</v>
      </c>
      <c r="L477" s="2" t="s">
        <v>1663</v>
      </c>
    </row>
    <row r="478" spans="1:14" ht="15" customHeight="1" x14ac:dyDescent="0.25">
      <c r="A478" s="2">
        <v>1421304</v>
      </c>
      <c r="B478" s="2" t="s">
        <v>1574</v>
      </c>
      <c r="C478" s="2" t="s">
        <v>218</v>
      </c>
      <c r="D478" s="2" t="s">
        <v>556</v>
      </c>
      <c r="E478" s="2" t="s">
        <v>1664</v>
      </c>
      <c r="F478" s="2" t="s">
        <v>295</v>
      </c>
      <c r="H478" s="2">
        <v>8</v>
      </c>
      <c r="I478" s="2">
        <v>5</v>
      </c>
      <c r="J478" s="2">
        <v>6</v>
      </c>
      <c r="L478" s="2" t="s">
        <v>251</v>
      </c>
      <c r="M478" s="2" t="s">
        <v>1665</v>
      </c>
    </row>
    <row r="479" spans="1:14" ht="15" customHeight="1" x14ac:dyDescent="0.25">
      <c r="A479" s="2">
        <v>1261306</v>
      </c>
      <c r="B479" s="2" t="s">
        <v>1006</v>
      </c>
      <c r="C479" s="2" t="s">
        <v>224</v>
      </c>
      <c r="D479" s="2" t="s">
        <v>556</v>
      </c>
      <c r="E479" s="2" t="s">
        <v>1666</v>
      </c>
      <c r="F479" s="2" t="s">
        <v>295</v>
      </c>
      <c r="H479" s="2">
        <v>7</v>
      </c>
      <c r="I479" s="2">
        <v>5</v>
      </c>
      <c r="J479" s="2">
        <v>7</v>
      </c>
      <c r="L479" s="2" t="s">
        <v>257</v>
      </c>
      <c r="M479" s="2" t="s">
        <v>1667</v>
      </c>
    </row>
    <row r="480" spans="1:14" ht="15" customHeight="1" x14ac:dyDescent="0.25">
      <c r="A480" s="2">
        <v>1230104</v>
      </c>
      <c r="B480" s="2" t="s">
        <v>1006</v>
      </c>
      <c r="C480" s="2" t="s">
        <v>219</v>
      </c>
      <c r="D480" s="2" t="s">
        <v>552</v>
      </c>
      <c r="E480" s="2" t="s">
        <v>1668</v>
      </c>
      <c r="F480" s="2" t="s">
        <v>295</v>
      </c>
      <c r="G480" s="2" t="s">
        <v>676</v>
      </c>
      <c r="H480" s="2">
        <v>10</v>
      </c>
      <c r="I480" s="2">
        <v>1</v>
      </c>
      <c r="J480" s="2">
        <v>1</v>
      </c>
      <c r="L480" s="2" t="s">
        <v>1669</v>
      </c>
      <c r="M480" s="2" t="s">
        <v>257</v>
      </c>
      <c r="N480" s="2" t="s">
        <v>263</v>
      </c>
    </row>
    <row r="481" spans="1:15" ht="15" customHeight="1" x14ac:dyDescent="0.25">
      <c r="A481" s="2">
        <v>1461303</v>
      </c>
      <c r="B481" s="2" t="s">
        <v>1574</v>
      </c>
      <c r="C481" s="2" t="s">
        <v>224</v>
      </c>
      <c r="D481" s="2" t="s">
        <v>556</v>
      </c>
      <c r="E481" s="2" t="s">
        <v>1670</v>
      </c>
      <c r="F481" s="2" t="s">
        <v>299</v>
      </c>
      <c r="H481" s="2">
        <v>1</v>
      </c>
      <c r="K481" s="2">
        <v>3</v>
      </c>
      <c r="L481" s="2" t="s">
        <v>1904</v>
      </c>
      <c r="M481" s="2" t="s">
        <v>769</v>
      </c>
    </row>
    <row r="482" spans="1:15" ht="15" customHeight="1" x14ac:dyDescent="0.25">
      <c r="A482" s="2">
        <v>1461404</v>
      </c>
      <c r="B482" s="2" t="s">
        <v>1574</v>
      </c>
      <c r="C482" s="2" t="s">
        <v>224</v>
      </c>
      <c r="D482" s="2" t="s">
        <v>558</v>
      </c>
      <c r="E482" s="2" t="s">
        <v>1671</v>
      </c>
      <c r="F482" s="2" t="s">
        <v>295</v>
      </c>
      <c r="H482" s="2">
        <v>5</v>
      </c>
      <c r="I482" s="2">
        <v>3</v>
      </c>
      <c r="J482" s="2">
        <v>5</v>
      </c>
      <c r="L482" s="2" t="s">
        <v>257</v>
      </c>
      <c r="M482" s="2" t="s">
        <v>776</v>
      </c>
    </row>
    <row r="483" spans="1:15" ht="15" customHeight="1" x14ac:dyDescent="0.25">
      <c r="A483" s="2">
        <v>1501401</v>
      </c>
      <c r="B483" s="2" t="s">
        <v>691</v>
      </c>
      <c r="C483" s="2" t="s">
        <v>225</v>
      </c>
      <c r="D483" s="2" t="s">
        <v>558</v>
      </c>
      <c r="E483" s="2" t="s">
        <v>1672</v>
      </c>
      <c r="F483" s="2" t="s">
        <v>299</v>
      </c>
      <c r="H483" s="2">
        <v>2</v>
      </c>
      <c r="K483" s="2">
        <v>2</v>
      </c>
      <c r="L483" s="2" t="s">
        <v>1673</v>
      </c>
    </row>
    <row r="484" spans="1:15" ht="15" customHeight="1" x14ac:dyDescent="0.25">
      <c r="A484" s="2">
        <v>1501402</v>
      </c>
      <c r="B484" s="2" t="s">
        <v>691</v>
      </c>
      <c r="C484" s="2" t="s">
        <v>225</v>
      </c>
      <c r="D484" s="2" t="s">
        <v>558</v>
      </c>
      <c r="E484" s="2" t="s">
        <v>1674</v>
      </c>
      <c r="F484" s="2" t="s">
        <v>295</v>
      </c>
      <c r="H484" s="2">
        <v>3</v>
      </c>
      <c r="I484" s="2">
        <v>2</v>
      </c>
      <c r="J484" s="2">
        <v>3</v>
      </c>
      <c r="L484" s="2" t="s">
        <v>255</v>
      </c>
    </row>
    <row r="485" spans="1:15" ht="15" customHeight="1" x14ac:dyDescent="0.25">
      <c r="A485" s="2">
        <v>1501102</v>
      </c>
      <c r="B485" s="2" t="s">
        <v>691</v>
      </c>
      <c r="C485" s="2" t="s">
        <v>225</v>
      </c>
      <c r="D485" s="2" t="s">
        <v>552</v>
      </c>
      <c r="E485" s="2" t="s">
        <v>1675</v>
      </c>
      <c r="F485" s="2" t="s">
        <v>295</v>
      </c>
      <c r="H485" s="2">
        <v>2</v>
      </c>
      <c r="I485" s="2">
        <v>2</v>
      </c>
      <c r="J485" s="2">
        <v>2</v>
      </c>
      <c r="L485" s="2" t="s">
        <v>1676</v>
      </c>
    </row>
    <row r="486" spans="1:15" ht="15" customHeight="1" x14ac:dyDescent="0.25">
      <c r="A486" s="2">
        <v>1501202</v>
      </c>
      <c r="B486" s="2" t="s">
        <v>691</v>
      </c>
      <c r="C486" s="2" t="s">
        <v>225</v>
      </c>
      <c r="D486" s="2" t="s">
        <v>554</v>
      </c>
      <c r="E486" s="2" t="s">
        <v>154</v>
      </c>
      <c r="F486" s="2" t="s">
        <v>299</v>
      </c>
      <c r="H486" s="2">
        <v>3</v>
      </c>
      <c r="L486" s="2" t="s">
        <v>948</v>
      </c>
      <c r="M486" s="2" t="s">
        <v>1679</v>
      </c>
    </row>
    <row r="487" spans="1:15" ht="15" customHeight="1" x14ac:dyDescent="0.25">
      <c r="A487" s="2">
        <v>1501201</v>
      </c>
      <c r="B487" s="2" t="s">
        <v>691</v>
      </c>
      <c r="C487" s="2" t="s">
        <v>225</v>
      </c>
      <c r="D487" s="2" t="s">
        <v>554</v>
      </c>
      <c r="E487" s="2" t="s">
        <v>1680</v>
      </c>
      <c r="F487" s="2" t="s">
        <v>297</v>
      </c>
      <c r="H487" s="2">
        <v>2</v>
      </c>
      <c r="L487" s="2" t="s">
        <v>1681</v>
      </c>
    </row>
    <row r="488" spans="1:15" ht="15" customHeight="1" x14ac:dyDescent="0.25">
      <c r="A488" s="2">
        <v>1501403</v>
      </c>
      <c r="B488" s="2" t="s">
        <v>691</v>
      </c>
      <c r="C488" s="2" t="s">
        <v>225</v>
      </c>
      <c r="D488" s="2" t="s">
        <v>558</v>
      </c>
      <c r="E488" s="2" t="s">
        <v>1682</v>
      </c>
      <c r="F488" s="2" t="s">
        <v>295</v>
      </c>
      <c r="H488" s="2">
        <v>1</v>
      </c>
      <c r="I488" s="2">
        <v>1</v>
      </c>
      <c r="J488" s="2">
        <v>1</v>
      </c>
      <c r="L488" s="2" t="s">
        <v>263</v>
      </c>
    </row>
    <row r="489" spans="1:15" ht="15" customHeight="1" x14ac:dyDescent="0.25">
      <c r="A489" s="2">
        <v>1501302</v>
      </c>
      <c r="B489" s="2" t="s">
        <v>691</v>
      </c>
      <c r="C489" s="2" t="s">
        <v>225</v>
      </c>
      <c r="D489" s="2" t="s">
        <v>556</v>
      </c>
      <c r="E489" s="2" t="s">
        <v>1683</v>
      </c>
      <c r="F489" s="2" t="s">
        <v>295</v>
      </c>
      <c r="H489" s="2">
        <v>3</v>
      </c>
      <c r="I489" s="2">
        <v>1</v>
      </c>
      <c r="J489" s="2">
        <v>2</v>
      </c>
      <c r="L489" s="2" t="s">
        <v>699</v>
      </c>
      <c r="M489" s="2" t="s">
        <v>1684</v>
      </c>
    </row>
    <row r="490" spans="1:15" ht="15" customHeight="1" x14ac:dyDescent="0.25">
      <c r="A490" s="2">
        <v>1611201</v>
      </c>
      <c r="B490" s="2" t="s">
        <v>1688</v>
      </c>
      <c r="C490" s="2" t="s">
        <v>216</v>
      </c>
      <c r="D490" s="2" t="s">
        <v>554</v>
      </c>
      <c r="E490" s="2" t="s">
        <v>1689</v>
      </c>
      <c r="F490" s="2" t="s">
        <v>295</v>
      </c>
      <c r="H490" s="2">
        <v>4</v>
      </c>
      <c r="I490" s="2">
        <v>3</v>
      </c>
      <c r="J490" s="2">
        <v>2</v>
      </c>
      <c r="L490" s="2" t="s">
        <v>1690</v>
      </c>
      <c r="M490" s="2" t="s">
        <v>1691</v>
      </c>
      <c r="N490" s="2" t="s">
        <v>1692</v>
      </c>
    </row>
    <row r="491" spans="1:15" ht="15" customHeight="1" x14ac:dyDescent="0.25">
      <c r="A491" s="2">
        <v>1621101</v>
      </c>
      <c r="B491" s="2" t="s">
        <v>1688</v>
      </c>
      <c r="C491" s="2" t="s">
        <v>218</v>
      </c>
      <c r="D491" s="2" t="s">
        <v>552</v>
      </c>
      <c r="E491" s="2" t="s">
        <v>1693</v>
      </c>
      <c r="F491" s="2" t="s">
        <v>295</v>
      </c>
      <c r="H491" s="2">
        <v>4</v>
      </c>
      <c r="I491" s="2">
        <v>3</v>
      </c>
      <c r="J491" s="2">
        <v>2</v>
      </c>
      <c r="L491" s="2" t="s">
        <v>1694</v>
      </c>
      <c r="M491" s="2" t="s">
        <v>1695</v>
      </c>
      <c r="N491" s="2" t="s">
        <v>249</v>
      </c>
    </row>
    <row r="492" spans="1:15" ht="15" customHeight="1" x14ac:dyDescent="0.25">
      <c r="A492" s="2">
        <v>1621201</v>
      </c>
      <c r="B492" s="2" t="s">
        <v>1688</v>
      </c>
      <c r="C492" s="2" t="s">
        <v>218</v>
      </c>
      <c r="D492" s="2" t="s">
        <v>554</v>
      </c>
      <c r="E492" s="2" t="s">
        <v>1696</v>
      </c>
      <c r="F492" s="2" t="s">
        <v>297</v>
      </c>
      <c r="H492" s="2">
        <v>5</v>
      </c>
      <c r="L492" s="2" t="s">
        <v>1697</v>
      </c>
    </row>
    <row r="493" spans="1:15" ht="15" customHeight="1" x14ac:dyDescent="0.25">
      <c r="A493" s="2">
        <v>1631101</v>
      </c>
      <c r="B493" s="2" t="s">
        <v>1688</v>
      </c>
      <c r="C493" s="2" t="s">
        <v>219</v>
      </c>
      <c r="D493" s="2" t="s">
        <v>552</v>
      </c>
      <c r="E493" s="2" t="s">
        <v>1698</v>
      </c>
      <c r="F493" s="2" t="s">
        <v>295</v>
      </c>
      <c r="H493" s="2">
        <v>3</v>
      </c>
      <c r="I493" s="2">
        <v>0</v>
      </c>
      <c r="J493" s="2">
        <v>1</v>
      </c>
      <c r="L493" s="2" t="s">
        <v>1184</v>
      </c>
      <c r="M493" s="2" t="s">
        <v>1166</v>
      </c>
      <c r="N493" s="2" t="s">
        <v>1699</v>
      </c>
    </row>
    <row r="494" spans="1:15" ht="15" customHeight="1" x14ac:dyDescent="0.25">
      <c r="A494" s="2">
        <v>1630101</v>
      </c>
      <c r="B494" s="2" t="s">
        <v>1688</v>
      </c>
      <c r="C494" s="2" t="s">
        <v>219</v>
      </c>
      <c r="D494" s="2" t="s">
        <v>552</v>
      </c>
      <c r="E494" s="2" t="s">
        <v>1700</v>
      </c>
      <c r="F494" s="2" t="s">
        <v>297</v>
      </c>
      <c r="H494" s="2">
        <v>1</v>
      </c>
      <c r="L494" s="2" t="s">
        <v>1701</v>
      </c>
      <c r="M494" s="2" t="s">
        <v>1033</v>
      </c>
    </row>
    <row r="495" spans="1:15" ht="15" customHeight="1" x14ac:dyDescent="0.25">
      <c r="A495" s="2">
        <v>1630102</v>
      </c>
      <c r="B495" s="2" t="s">
        <v>1688</v>
      </c>
      <c r="C495" s="2" t="s">
        <v>219</v>
      </c>
      <c r="D495" s="2" t="s">
        <v>552</v>
      </c>
      <c r="E495" s="2" t="s">
        <v>1702</v>
      </c>
      <c r="F495" s="2" t="s">
        <v>398</v>
      </c>
      <c r="H495" s="2">
        <v>0</v>
      </c>
      <c r="L495" s="2" t="s">
        <v>1703</v>
      </c>
    </row>
    <row r="496" spans="1:15" ht="15" customHeight="1" x14ac:dyDescent="0.25">
      <c r="A496" s="2">
        <v>1631102</v>
      </c>
      <c r="B496" s="2" t="s">
        <v>1688</v>
      </c>
      <c r="C496" s="2" t="s">
        <v>219</v>
      </c>
      <c r="D496" s="2" t="s">
        <v>552</v>
      </c>
      <c r="E496" s="2" t="s">
        <v>1704</v>
      </c>
      <c r="F496" s="2" t="s">
        <v>295</v>
      </c>
      <c r="H496" s="2">
        <v>4</v>
      </c>
      <c r="I496" s="2">
        <v>5</v>
      </c>
      <c r="J496" s="2">
        <v>3</v>
      </c>
      <c r="L496" s="2" t="s">
        <v>1156</v>
      </c>
      <c r="M496" s="2" t="s">
        <v>1705</v>
      </c>
      <c r="N496" s="2" t="s">
        <v>1706</v>
      </c>
      <c r="O496" s="2" t="s">
        <v>1707</v>
      </c>
    </row>
    <row r="497" spans="1:15" ht="15" customHeight="1" x14ac:dyDescent="0.25">
      <c r="A497" s="2">
        <v>1631201</v>
      </c>
      <c r="B497" s="2" t="s">
        <v>1688</v>
      </c>
      <c r="C497" s="2" t="s">
        <v>219</v>
      </c>
      <c r="D497" s="2" t="s">
        <v>554</v>
      </c>
      <c r="E497" s="2" t="s">
        <v>1708</v>
      </c>
      <c r="F497" s="2" t="s">
        <v>297</v>
      </c>
      <c r="H497" s="2">
        <v>2</v>
      </c>
      <c r="L497" s="2" t="s">
        <v>849</v>
      </c>
      <c r="M497" s="2" t="s">
        <v>1447</v>
      </c>
      <c r="N497" s="2" t="s">
        <v>1709</v>
      </c>
    </row>
    <row r="498" spans="1:15" ht="15" customHeight="1" x14ac:dyDescent="0.25">
      <c r="A498" s="2">
        <v>1641101</v>
      </c>
      <c r="B498" s="2" t="s">
        <v>1688</v>
      </c>
      <c r="C498" s="2" t="s">
        <v>220</v>
      </c>
      <c r="D498" s="2" t="s">
        <v>552</v>
      </c>
      <c r="E498" s="2" t="s">
        <v>1710</v>
      </c>
      <c r="F498" s="2" t="s">
        <v>295</v>
      </c>
      <c r="H498" s="2">
        <v>7</v>
      </c>
      <c r="I498" s="2">
        <v>8</v>
      </c>
      <c r="J498" s="2">
        <v>6</v>
      </c>
      <c r="L498" s="2" t="s">
        <v>1711</v>
      </c>
      <c r="M498" s="2" t="s">
        <v>261</v>
      </c>
      <c r="N498" s="2" t="s">
        <v>692</v>
      </c>
    </row>
    <row r="499" spans="1:15" ht="15" customHeight="1" x14ac:dyDescent="0.25">
      <c r="A499" s="2">
        <v>1641201</v>
      </c>
      <c r="B499" s="2" t="s">
        <v>1688</v>
      </c>
      <c r="C499" s="2" t="s">
        <v>220</v>
      </c>
      <c r="D499" s="2" t="s">
        <v>554</v>
      </c>
      <c r="E499" s="2" t="s">
        <v>1712</v>
      </c>
      <c r="F499" s="2" t="s">
        <v>295</v>
      </c>
      <c r="H499" s="2">
        <v>3</v>
      </c>
      <c r="I499" s="2">
        <v>2</v>
      </c>
      <c r="J499" s="2">
        <v>1</v>
      </c>
      <c r="L499" s="2" t="s">
        <v>1713</v>
      </c>
      <c r="M499" s="2" t="s">
        <v>1714</v>
      </c>
    </row>
    <row r="500" spans="1:15" ht="15" customHeight="1" x14ac:dyDescent="0.25">
      <c r="A500" s="2">
        <v>1650101</v>
      </c>
      <c r="B500" s="2" t="s">
        <v>1688</v>
      </c>
      <c r="C500" s="2" t="s">
        <v>222</v>
      </c>
      <c r="D500" s="2" t="s">
        <v>552</v>
      </c>
      <c r="E500" s="2" t="s">
        <v>1715</v>
      </c>
      <c r="F500" s="2" t="s">
        <v>398</v>
      </c>
      <c r="H500" s="2">
        <v>0</v>
      </c>
      <c r="K500" s="2">
        <v>4</v>
      </c>
      <c r="L500" s="2" t="s">
        <v>1716</v>
      </c>
    </row>
    <row r="501" spans="1:15" ht="15" customHeight="1" x14ac:dyDescent="0.25">
      <c r="A501" s="2">
        <v>1651101</v>
      </c>
      <c r="B501" s="2" t="s">
        <v>1688</v>
      </c>
      <c r="C501" s="2" t="s">
        <v>222</v>
      </c>
      <c r="D501" s="2" t="s">
        <v>552</v>
      </c>
      <c r="E501" s="2" t="s">
        <v>1717</v>
      </c>
      <c r="F501" s="2" t="s">
        <v>295</v>
      </c>
      <c r="H501" s="2">
        <v>7</v>
      </c>
      <c r="I501" s="2">
        <v>7</v>
      </c>
      <c r="J501" s="2">
        <v>6</v>
      </c>
      <c r="L501" s="2" t="s">
        <v>1718</v>
      </c>
      <c r="M501" s="2" t="s">
        <v>1719</v>
      </c>
      <c r="N501" s="2" t="s">
        <v>1720</v>
      </c>
    </row>
    <row r="502" spans="1:15" ht="15" customHeight="1" x14ac:dyDescent="0.25">
      <c r="A502" s="2">
        <v>1650201</v>
      </c>
      <c r="B502" s="2" t="s">
        <v>1688</v>
      </c>
      <c r="C502" s="2" t="s">
        <v>222</v>
      </c>
      <c r="D502" s="2" t="s">
        <v>554</v>
      </c>
      <c r="E502" s="2" t="s">
        <v>1721</v>
      </c>
      <c r="F502" s="2" t="s">
        <v>398</v>
      </c>
      <c r="H502" s="2">
        <v>0</v>
      </c>
      <c r="K502" s="2">
        <v>4</v>
      </c>
      <c r="L502" s="2" t="s">
        <v>1722</v>
      </c>
    </row>
    <row r="503" spans="1:15" ht="15" customHeight="1" x14ac:dyDescent="0.25">
      <c r="A503" s="2">
        <v>1651202</v>
      </c>
      <c r="B503" s="2" t="s">
        <v>1688</v>
      </c>
      <c r="C503" s="2" t="s">
        <v>222</v>
      </c>
      <c r="D503" s="2" t="s">
        <v>554</v>
      </c>
      <c r="E503" s="2" t="s">
        <v>1723</v>
      </c>
      <c r="F503" s="2" t="s">
        <v>297</v>
      </c>
      <c r="H503" s="2">
        <v>5</v>
      </c>
      <c r="L503" s="2" t="s">
        <v>1724</v>
      </c>
      <c r="M503" s="2" t="s">
        <v>1725</v>
      </c>
      <c r="N503" s="2" t="s">
        <v>1726</v>
      </c>
      <c r="O503" s="2" t="s">
        <v>1727</v>
      </c>
    </row>
    <row r="504" spans="1:15" ht="15" customHeight="1" x14ac:dyDescent="0.25">
      <c r="A504" s="2">
        <v>1661101</v>
      </c>
      <c r="B504" s="2" t="s">
        <v>1688</v>
      </c>
      <c r="C504" s="2" t="s">
        <v>224</v>
      </c>
      <c r="D504" s="2" t="s">
        <v>552</v>
      </c>
      <c r="E504" s="2" t="s">
        <v>1728</v>
      </c>
      <c r="F504" s="2" t="s">
        <v>295</v>
      </c>
      <c r="H504" s="2">
        <v>8</v>
      </c>
      <c r="I504" s="2">
        <v>6</v>
      </c>
      <c r="J504" s="2">
        <v>8</v>
      </c>
      <c r="L504" s="2" t="s">
        <v>1729</v>
      </c>
      <c r="M504" s="2" t="s">
        <v>1730</v>
      </c>
      <c r="N504" s="2" t="s">
        <v>257</v>
      </c>
      <c r="O504" s="2" t="s">
        <v>1731</v>
      </c>
    </row>
    <row r="505" spans="1:15" ht="15" customHeight="1" x14ac:dyDescent="0.25">
      <c r="A505" s="2">
        <v>1661201</v>
      </c>
      <c r="B505" s="2" t="s">
        <v>1688</v>
      </c>
      <c r="C505" s="2" t="s">
        <v>224</v>
      </c>
      <c r="D505" s="2" t="s">
        <v>554</v>
      </c>
      <c r="E505" s="2" t="s">
        <v>1732</v>
      </c>
      <c r="F505" s="2" t="s">
        <v>299</v>
      </c>
      <c r="H505" s="2">
        <v>3</v>
      </c>
      <c r="L505" s="2" t="s">
        <v>693</v>
      </c>
      <c r="M505" s="2" t="s">
        <v>1733</v>
      </c>
    </row>
    <row r="506" spans="1:15" ht="15" customHeight="1" x14ac:dyDescent="0.25">
      <c r="A506" s="2">
        <v>1671101</v>
      </c>
      <c r="B506" s="2" t="s">
        <v>1688</v>
      </c>
      <c r="C506" s="2" t="s">
        <v>193</v>
      </c>
      <c r="D506" s="2" t="s">
        <v>552</v>
      </c>
      <c r="E506" s="2" t="s">
        <v>1734</v>
      </c>
      <c r="F506" s="2" t="s">
        <v>295</v>
      </c>
      <c r="H506" s="2">
        <v>9</v>
      </c>
      <c r="I506" s="2">
        <v>9</v>
      </c>
      <c r="J506" s="2">
        <v>9</v>
      </c>
      <c r="L506" s="2" t="s">
        <v>1735</v>
      </c>
      <c r="M506" s="2" t="s">
        <v>1736</v>
      </c>
    </row>
    <row r="507" spans="1:15" ht="15" customHeight="1" x14ac:dyDescent="0.25">
      <c r="A507" s="2">
        <v>1070204</v>
      </c>
      <c r="B507" s="2" t="s">
        <v>695</v>
      </c>
      <c r="C507" s="2" t="s">
        <v>193</v>
      </c>
      <c r="D507" s="2" t="s">
        <v>554</v>
      </c>
      <c r="E507" s="2" t="s">
        <v>1737</v>
      </c>
      <c r="F507" s="2" t="s">
        <v>295</v>
      </c>
      <c r="G507" s="2" t="s">
        <v>671</v>
      </c>
      <c r="H507" s="2">
        <v>5</v>
      </c>
      <c r="I507" s="2">
        <v>3</v>
      </c>
      <c r="J507" s="2">
        <v>5</v>
      </c>
      <c r="L507" s="2" t="s">
        <v>1738</v>
      </c>
      <c r="M507" s="2" t="s">
        <v>1739</v>
      </c>
      <c r="N507" s="2" t="s">
        <v>1740</v>
      </c>
    </row>
    <row r="508" spans="1:15" ht="15" customHeight="1" x14ac:dyDescent="0.25">
      <c r="A508" s="2">
        <v>1600101</v>
      </c>
      <c r="B508" s="2" t="s">
        <v>1688</v>
      </c>
      <c r="C508" s="2" t="s">
        <v>225</v>
      </c>
      <c r="D508" s="2" t="s">
        <v>552</v>
      </c>
      <c r="E508" s="2" t="s">
        <v>1741</v>
      </c>
      <c r="F508" s="2" t="s">
        <v>398</v>
      </c>
      <c r="H508" s="2">
        <v>0</v>
      </c>
      <c r="K508" s="2">
        <v>2</v>
      </c>
      <c r="L508" s="2" t="s">
        <v>1742</v>
      </c>
    </row>
    <row r="509" spans="1:15" ht="15" customHeight="1" x14ac:dyDescent="0.25">
      <c r="A509" s="2">
        <v>1601101</v>
      </c>
      <c r="B509" s="2" t="s">
        <v>1688</v>
      </c>
      <c r="C509" s="2" t="s">
        <v>225</v>
      </c>
      <c r="D509" s="2" t="s">
        <v>552</v>
      </c>
      <c r="E509" s="2" t="s">
        <v>1743</v>
      </c>
      <c r="F509" s="2" t="s">
        <v>295</v>
      </c>
      <c r="H509" s="2">
        <v>6</v>
      </c>
      <c r="I509" s="2">
        <v>7</v>
      </c>
      <c r="J509" s="2">
        <v>6</v>
      </c>
      <c r="L509" s="2" t="s">
        <v>1744</v>
      </c>
      <c r="M509" s="2" t="s">
        <v>1745</v>
      </c>
      <c r="N509" s="2" t="s">
        <v>1746</v>
      </c>
      <c r="O509" s="2" t="s">
        <v>1747</v>
      </c>
    </row>
    <row r="510" spans="1:15" ht="15" customHeight="1" x14ac:dyDescent="0.25">
      <c r="A510" s="2">
        <v>1510201</v>
      </c>
      <c r="B510" s="2" t="s">
        <v>691</v>
      </c>
      <c r="C510" s="2" t="s">
        <v>216</v>
      </c>
      <c r="D510" s="2" t="s">
        <v>554</v>
      </c>
      <c r="E510" s="2" t="s">
        <v>1748</v>
      </c>
      <c r="F510" s="2" t="s">
        <v>398</v>
      </c>
      <c r="H510" s="2">
        <v>0</v>
      </c>
      <c r="K510" s="2">
        <v>3</v>
      </c>
      <c r="L510" s="2" t="s">
        <v>1749</v>
      </c>
      <c r="M510" s="2" t="s">
        <v>2074</v>
      </c>
    </row>
    <row r="511" spans="1:15" ht="15" customHeight="1" x14ac:dyDescent="0.25">
      <c r="A511" s="2">
        <v>1511303</v>
      </c>
      <c r="B511" s="2" t="s">
        <v>691</v>
      </c>
      <c r="C511" s="2" t="s">
        <v>216</v>
      </c>
      <c r="D511" s="2" t="s">
        <v>556</v>
      </c>
      <c r="E511" s="2" t="s">
        <v>1754</v>
      </c>
      <c r="F511" s="2" t="s">
        <v>299</v>
      </c>
      <c r="H511" s="2">
        <v>3</v>
      </c>
      <c r="L511" s="2" t="s">
        <v>1755</v>
      </c>
      <c r="M511" s="2" t="s">
        <v>948</v>
      </c>
      <c r="N511" s="2" t="s">
        <v>1756</v>
      </c>
    </row>
    <row r="512" spans="1:15" ht="15" customHeight="1" x14ac:dyDescent="0.25">
      <c r="A512" s="2">
        <v>1511302</v>
      </c>
      <c r="B512" s="2" t="s">
        <v>691</v>
      </c>
      <c r="C512" s="2" t="s">
        <v>216</v>
      </c>
      <c r="D512" s="2" t="s">
        <v>556</v>
      </c>
      <c r="E512" s="2" t="s">
        <v>1757</v>
      </c>
      <c r="F512" s="2" t="s">
        <v>297</v>
      </c>
      <c r="H512" s="2">
        <v>2</v>
      </c>
      <c r="L512" s="2" t="s">
        <v>1758</v>
      </c>
    </row>
    <row r="513" spans="1:15" ht="15" customHeight="1" x14ac:dyDescent="0.25">
      <c r="A513" s="2">
        <v>1511301</v>
      </c>
      <c r="B513" s="2" t="s">
        <v>691</v>
      </c>
      <c r="C513" s="2" t="s">
        <v>216</v>
      </c>
      <c r="D513" s="2" t="s">
        <v>556</v>
      </c>
      <c r="E513" s="2" t="s">
        <v>1768</v>
      </c>
      <c r="F513" s="2" t="s">
        <v>297</v>
      </c>
      <c r="H513" s="2">
        <v>3</v>
      </c>
      <c r="L513" s="2" t="s">
        <v>1769</v>
      </c>
      <c r="M513" s="2" t="s">
        <v>1770</v>
      </c>
    </row>
    <row r="514" spans="1:15" ht="15" customHeight="1" x14ac:dyDescent="0.25">
      <c r="A514" s="2">
        <v>1570102</v>
      </c>
      <c r="B514" s="2" t="s">
        <v>691</v>
      </c>
      <c r="C514" s="2" t="s">
        <v>193</v>
      </c>
      <c r="D514" s="2" t="s">
        <v>552</v>
      </c>
      <c r="E514" s="2" t="s">
        <v>43</v>
      </c>
      <c r="F514" s="2" t="s">
        <v>295</v>
      </c>
      <c r="G514" s="2" t="s">
        <v>670</v>
      </c>
      <c r="H514" s="2">
        <v>1</v>
      </c>
      <c r="I514" s="2">
        <v>4</v>
      </c>
      <c r="J514" s="2">
        <v>4</v>
      </c>
      <c r="L514" s="2" t="s">
        <v>249</v>
      </c>
      <c r="M514" s="2" t="s">
        <v>257</v>
      </c>
      <c r="N514" s="2" t="s">
        <v>263</v>
      </c>
    </row>
    <row r="515" spans="1:15" ht="15" customHeight="1" x14ac:dyDescent="0.25">
      <c r="A515" s="2">
        <v>1511407</v>
      </c>
      <c r="B515" s="2" t="s">
        <v>691</v>
      </c>
      <c r="C515" s="2" t="s">
        <v>216</v>
      </c>
      <c r="D515" s="2" t="s">
        <v>558</v>
      </c>
      <c r="E515" s="2" t="s">
        <v>1781</v>
      </c>
      <c r="F515" s="2" t="s">
        <v>295</v>
      </c>
      <c r="H515" s="2">
        <v>4</v>
      </c>
      <c r="I515" s="2">
        <v>2</v>
      </c>
      <c r="J515" s="2">
        <v>3</v>
      </c>
      <c r="L515" s="2" t="s">
        <v>1782</v>
      </c>
    </row>
    <row r="516" spans="1:15" ht="15" customHeight="1" x14ac:dyDescent="0.25">
      <c r="A516" s="2">
        <v>1571201</v>
      </c>
      <c r="B516" s="2" t="s">
        <v>691</v>
      </c>
      <c r="C516" s="2" t="s">
        <v>193</v>
      </c>
      <c r="D516" s="2" t="s">
        <v>554</v>
      </c>
      <c r="E516" s="2" t="s">
        <v>33</v>
      </c>
      <c r="F516" s="2" t="s">
        <v>295</v>
      </c>
      <c r="H516" s="2">
        <v>6</v>
      </c>
      <c r="I516" s="2">
        <v>3</v>
      </c>
      <c r="J516" s="2">
        <v>3</v>
      </c>
      <c r="L516" s="2" t="s">
        <v>1783</v>
      </c>
    </row>
    <row r="517" spans="1:15" ht="15" customHeight="1" x14ac:dyDescent="0.25">
      <c r="A517" s="2">
        <v>1571402</v>
      </c>
      <c r="B517" s="2" t="s">
        <v>691</v>
      </c>
      <c r="C517" s="2" t="s">
        <v>193</v>
      </c>
      <c r="D517" s="2" t="s">
        <v>558</v>
      </c>
      <c r="E517" s="2" t="s">
        <v>40</v>
      </c>
      <c r="F517" s="2" t="s">
        <v>295</v>
      </c>
      <c r="H517" s="2">
        <v>4</v>
      </c>
      <c r="I517" s="2">
        <v>3</v>
      </c>
      <c r="J517" s="2">
        <v>2</v>
      </c>
      <c r="L517" s="2" t="s">
        <v>2338</v>
      </c>
      <c r="M517" s="2" t="s">
        <v>1786</v>
      </c>
      <c r="N517" s="2" t="s">
        <v>249</v>
      </c>
      <c r="O517" s="2" t="s">
        <v>692</v>
      </c>
    </row>
    <row r="518" spans="1:15" ht="15" customHeight="1" x14ac:dyDescent="0.25">
      <c r="A518" s="2">
        <v>1571403</v>
      </c>
      <c r="B518" s="2" t="s">
        <v>691</v>
      </c>
      <c r="C518" s="2" t="s">
        <v>193</v>
      </c>
      <c r="D518" s="2" t="s">
        <v>558</v>
      </c>
      <c r="E518" s="2" t="s">
        <v>46</v>
      </c>
      <c r="F518" s="2" t="s">
        <v>295</v>
      </c>
      <c r="H518" s="2">
        <v>1</v>
      </c>
      <c r="I518" s="2">
        <v>1</v>
      </c>
      <c r="J518" s="2">
        <v>1</v>
      </c>
      <c r="L518" s="2" t="s">
        <v>2182</v>
      </c>
    </row>
    <row r="519" spans="1:15" ht="15" customHeight="1" x14ac:dyDescent="0.25">
      <c r="A519" s="2">
        <v>1571301</v>
      </c>
      <c r="B519" s="2" t="s">
        <v>691</v>
      </c>
      <c r="C519" s="2" t="s">
        <v>193</v>
      </c>
      <c r="D519" s="2" t="s">
        <v>556</v>
      </c>
      <c r="E519" s="2" t="s">
        <v>34</v>
      </c>
      <c r="F519" s="2" t="s">
        <v>295</v>
      </c>
      <c r="H519" s="2">
        <v>3</v>
      </c>
      <c r="I519" s="2">
        <v>1</v>
      </c>
      <c r="J519" s="2">
        <v>1</v>
      </c>
      <c r="L519" s="2" t="s">
        <v>1787</v>
      </c>
    </row>
    <row r="520" spans="1:15" ht="15" customHeight="1" x14ac:dyDescent="0.25">
      <c r="A520" s="2">
        <v>1571102</v>
      </c>
      <c r="B520" s="2" t="s">
        <v>691</v>
      </c>
      <c r="C520" s="2" t="s">
        <v>193</v>
      </c>
      <c r="D520" s="2" t="s">
        <v>552</v>
      </c>
      <c r="E520" s="2" t="s">
        <v>37</v>
      </c>
      <c r="F520" s="2" t="s">
        <v>295</v>
      </c>
      <c r="H520" s="2">
        <v>8</v>
      </c>
      <c r="I520" s="2">
        <v>5</v>
      </c>
      <c r="J520" s="2">
        <v>5</v>
      </c>
      <c r="L520" s="2" t="s">
        <v>2298</v>
      </c>
      <c r="M520" s="2" t="s">
        <v>1788</v>
      </c>
    </row>
    <row r="521" spans="1:15" ht="15" customHeight="1" x14ac:dyDescent="0.25">
      <c r="A521" s="2">
        <v>1570405</v>
      </c>
      <c r="B521" s="2" t="s">
        <v>691</v>
      </c>
      <c r="C521" s="2" t="s">
        <v>193</v>
      </c>
      <c r="D521" s="2" t="s">
        <v>558</v>
      </c>
      <c r="E521" s="2" t="s">
        <v>1789</v>
      </c>
      <c r="F521" s="2" t="s">
        <v>295</v>
      </c>
      <c r="G521" s="2" t="s">
        <v>671</v>
      </c>
      <c r="H521" s="2">
        <v>3</v>
      </c>
      <c r="I521" s="2">
        <v>2</v>
      </c>
      <c r="J521" s="2">
        <v>2</v>
      </c>
      <c r="L521" s="2" t="s">
        <v>1790</v>
      </c>
    </row>
    <row r="522" spans="1:15" ht="15" customHeight="1" x14ac:dyDescent="0.25">
      <c r="A522" s="2">
        <v>1570402</v>
      </c>
      <c r="B522" s="2" t="s">
        <v>691</v>
      </c>
      <c r="C522" s="2" t="s">
        <v>193</v>
      </c>
      <c r="D522" s="2" t="s">
        <v>558</v>
      </c>
      <c r="E522" s="2" t="s">
        <v>1791</v>
      </c>
      <c r="F522" s="2" t="s">
        <v>295</v>
      </c>
      <c r="G522" s="2" t="s">
        <v>671</v>
      </c>
      <c r="H522" s="2">
        <v>3</v>
      </c>
      <c r="I522" s="2">
        <v>2</v>
      </c>
      <c r="J522" s="2">
        <v>3</v>
      </c>
      <c r="L522" s="2" t="s">
        <v>892</v>
      </c>
      <c r="M522" s="2" t="s">
        <v>257</v>
      </c>
      <c r="N522" s="2" t="s">
        <v>265</v>
      </c>
    </row>
    <row r="523" spans="1:15" ht="15" customHeight="1" x14ac:dyDescent="0.25">
      <c r="A523" s="2">
        <v>1570404</v>
      </c>
      <c r="B523" s="2" t="s">
        <v>691</v>
      </c>
      <c r="C523" s="2" t="s">
        <v>193</v>
      </c>
      <c r="D523" s="2" t="s">
        <v>558</v>
      </c>
      <c r="E523" s="2" t="s">
        <v>1792</v>
      </c>
      <c r="F523" s="2" t="s">
        <v>295</v>
      </c>
      <c r="G523" s="2" t="s">
        <v>671</v>
      </c>
      <c r="H523" s="2">
        <v>3</v>
      </c>
      <c r="I523" s="2">
        <v>3</v>
      </c>
      <c r="J523" s="2">
        <v>2</v>
      </c>
      <c r="L523" s="2" t="s">
        <v>259</v>
      </c>
      <c r="M523" s="2" t="s">
        <v>249</v>
      </c>
    </row>
    <row r="524" spans="1:15" ht="15" customHeight="1" x14ac:dyDescent="0.25">
      <c r="A524" s="2">
        <v>1570403</v>
      </c>
      <c r="B524" s="2" t="s">
        <v>691</v>
      </c>
      <c r="C524" s="2" t="s">
        <v>193</v>
      </c>
      <c r="D524" s="2" t="s">
        <v>558</v>
      </c>
      <c r="E524" s="2" t="s">
        <v>1793</v>
      </c>
      <c r="F524" s="2" t="s">
        <v>295</v>
      </c>
      <c r="G524" s="2" t="s">
        <v>671</v>
      </c>
      <c r="H524" s="2">
        <v>3</v>
      </c>
      <c r="I524" s="2">
        <v>3</v>
      </c>
      <c r="J524" s="2">
        <v>2</v>
      </c>
      <c r="L524" s="2" t="s">
        <v>251</v>
      </c>
      <c r="M524" s="2" t="s">
        <v>1794</v>
      </c>
      <c r="N524" s="2" t="s">
        <v>1795</v>
      </c>
    </row>
    <row r="525" spans="1:15" ht="15" customHeight="1" x14ac:dyDescent="0.25">
      <c r="A525" s="2">
        <v>1471402</v>
      </c>
      <c r="B525" s="2" t="s">
        <v>1574</v>
      </c>
      <c r="C525" s="2" t="s">
        <v>193</v>
      </c>
      <c r="D525" s="2" t="s">
        <v>558</v>
      </c>
      <c r="E525" s="2" t="s">
        <v>129</v>
      </c>
      <c r="F525" s="2" t="s">
        <v>295</v>
      </c>
      <c r="H525" s="2">
        <v>2</v>
      </c>
      <c r="I525" s="2">
        <v>2</v>
      </c>
      <c r="J525" s="2">
        <v>2</v>
      </c>
      <c r="L525" s="2" t="s">
        <v>1796</v>
      </c>
      <c r="M525" s="2" t="s">
        <v>1797</v>
      </c>
    </row>
    <row r="526" spans="1:15" ht="15" customHeight="1" x14ac:dyDescent="0.25">
      <c r="A526" s="2">
        <v>1161103</v>
      </c>
      <c r="B526" s="2" t="s">
        <v>806</v>
      </c>
      <c r="C526" s="2" t="s">
        <v>224</v>
      </c>
      <c r="D526" s="2" t="s">
        <v>552</v>
      </c>
      <c r="E526" s="2" t="s">
        <v>174</v>
      </c>
      <c r="F526" s="2" t="s">
        <v>295</v>
      </c>
      <c r="H526" s="2">
        <v>6</v>
      </c>
      <c r="I526" s="2">
        <v>0</v>
      </c>
      <c r="J526" s="2">
        <v>4</v>
      </c>
      <c r="L526" s="2" t="s">
        <v>2416</v>
      </c>
      <c r="M526" s="2" t="s">
        <v>1798</v>
      </c>
    </row>
    <row r="527" spans="1:15" ht="15" customHeight="1" x14ac:dyDescent="0.25">
      <c r="A527" s="2">
        <v>1770401</v>
      </c>
      <c r="B527" s="2" t="s">
        <v>1799</v>
      </c>
      <c r="C527" s="2" t="s">
        <v>193</v>
      </c>
      <c r="D527" s="2" t="s">
        <v>558</v>
      </c>
      <c r="E527" s="2" t="s">
        <v>1800</v>
      </c>
      <c r="F527" s="2" t="s">
        <v>398</v>
      </c>
      <c r="H527" s="2">
        <v>0</v>
      </c>
      <c r="L527" s="2" t="s">
        <v>1801</v>
      </c>
    </row>
    <row r="528" spans="1:15" ht="15" customHeight="1" x14ac:dyDescent="0.25">
      <c r="A528" s="2">
        <v>1771402</v>
      </c>
      <c r="B528" s="2" t="s">
        <v>1799</v>
      </c>
      <c r="C528" s="2" t="s">
        <v>193</v>
      </c>
      <c r="D528" s="2" t="s">
        <v>558</v>
      </c>
      <c r="E528" s="2" t="s">
        <v>1802</v>
      </c>
      <c r="F528" s="2" t="s">
        <v>295</v>
      </c>
      <c r="G528" s="2" t="s">
        <v>679</v>
      </c>
      <c r="H528" s="2">
        <v>4</v>
      </c>
      <c r="I528" s="2">
        <v>4</v>
      </c>
      <c r="J528" s="2">
        <v>4</v>
      </c>
      <c r="L528" s="2" t="s">
        <v>257</v>
      </c>
      <c r="M528" s="2" t="s">
        <v>1803</v>
      </c>
      <c r="N528" s="2" t="s">
        <v>1804</v>
      </c>
    </row>
    <row r="529" spans="1:15" ht="15" customHeight="1" x14ac:dyDescent="0.25">
      <c r="A529" s="2">
        <v>1770101</v>
      </c>
      <c r="B529" s="2" t="s">
        <v>1799</v>
      </c>
      <c r="C529" s="2" t="s">
        <v>193</v>
      </c>
      <c r="D529" s="2" t="s">
        <v>552</v>
      </c>
      <c r="E529" s="2" t="s">
        <v>1805</v>
      </c>
      <c r="F529" s="2" t="s">
        <v>398</v>
      </c>
      <c r="H529" s="2">
        <v>0</v>
      </c>
      <c r="L529" s="2" t="s">
        <v>1806</v>
      </c>
    </row>
    <row r="530" spans="1:15" ht="15" customHeight="1" x14ac:dyDescent="0.25">
      <c r="A530" s="2">
        <v>1771101</v>
      </c>
      <c r="B530" s="2" t="s">
        <v>1799</v>
      </c>
      <c r="C530" s="2" t="s">
        <v>193</v>
      </c>
      <c r="D530" s="2" t="s">
        <v>552</v>
      </c>
      <c r="E530" s="2" t="s">
        <v>1807</v>
      </c>
      <c r="F530" s="2" t="s">
        <v>295</v>
      </c>
      <c r="G530" s="2" t="s">
        <v>679</v>
      </c>
      <c r="H530" s="2">
        <v>3</v>
      </c>
      <c r="I530" s="2">
        <v>2</v>
      </c>
      <c r="J530" s="2">
        <v>4</v>
      </c>
      <c r="L530" s="2" t="s">
        <v>1808</v>
      </c>
      <c r="M530" s="2" t="s">
        <v>1809</v>
      </c>
      <c r="N530" s="2" t="s">
        <v>1810</v>
      </c>
      <c r="O530" s="2" t="s">
        <v>1811</v>
      </c>
    </row>
    <row r="531" spans="1:15" ht="15" customHeight="1" x14ac:dyDescent="0.25">
      <c r="A531" s="2">
        <v>1770403</v>
      </c>
      <c r="B531" s="2" t="s">
        <v>1799</v>
      </c>
      <c r="C531" s="2" t="s">
        <v>193</v>
      </c>
      <c r="D531" s="2" t="s">
        <v>558</v>
      </c>
      <c r="E531" s="2" t="s">
        <v>1812</v>
      </c>
      <c r="F531" s="2" t="s">
        <v>398</v>
      </c>
      <c r="H531" s="2">
        <v>0</v>
      </c>
      <c r="L531" s="2" t="s">
        <v>1813</v>
      </c>
    </row>
    <row r="532" spans="1:15" ht="15" customHeight="1" x14ac:dyDescent="0.25">
      <c r="A532" s="2">
        <v>1771401</v>
      </c>
      <c r="B532" s="2" t="s">
        <v>1799</v>
      </c>
      <c r="C532" s="2" t="s">
        <v>193</v>
      </c>
      <c r="D532" s="2" t="s">
        <v>558</v>
      </c>
      <c r="E532" s="2" t="s">
        <v>1814</v>
      </c>
      <c r="F532" s="2" t="s">
        <v>295</v>
      </c>
      <c r="G532" s="2" t="s">
        <v>679</v>
      </c>
      <c r="H532" s="2">
        <v>2</v>
      </c>
      <c r="I532" s="2">
        <v>2</v>
      </c>
      <c r="J532" s="2">
        <v>2</v>
      </c>
      <c r="L532" s="2" t="s">
        <v>1815</v>
      </c>
      <c r="M532" s="2" t="s">
        <v>1816</v>
      </c>
    </row>
    <row r="533" spans="1:15" ht="15" customHeight="1" x14ac:dyDescent="0.25">
      <c r="A533" s="2">
        <v>1770404</v>
      </c>
      <c r="B533" s="2" t="s">
        <v>1799</v>
      </c>
      <c r="C533" s="2" t="s">
        <v>193</v>
      </c>
      <c r="D533" s="2" t="s">
        <v>558</v>
      </c>
      <c r="E533" s="2" t="s">
        <v>1817</v>
      </c>
      <c r="F533" s="2" t="s">
        <v>398</v>
      </c>
      <c r="H533" s="2">
        <v>0</v>
      </c>
      <c r="L533" s="2" t="s">
        <v>1818</v>
      </c>
    </row>
    <row r="534" spans="1:15" ht="15" customHeight="1" x14ac:dyDescent="0.25">
      <c r="A534" s="2">
        <v>1771403</v>
      </c>
      <c r="B534" s="2" t="s">
        <v>1799</v>
      </c>
      <c r="C534" s="2" t="s">
        <v>193</v>
      </c>
      <c r="D534" s="2" t="s">
        <v>558</v>
      </c>
      <c r="E534" s="2" t="s">
        <v>1819</v>
      </c>
      <c r="F534" s="2" t="s">
        <v>295</v>
      </c>
      <c r="G534" s="2" t="s">
        <v>679</v>
      </c>
      <c r="H534" s="2">
        <v>3</v>
      </c>
      <c r="I534" s="2">
        <v>3</v>
      </c>
      <c r="J534" s="2">
        <v>3</v>
      </c>
      <c r="L534" s="2" t="s">
        <v>1820</v>
      </c>
      <c r="M534" s="2" t="s">
        <v>1821</v>
      </c>
    </row>
    <row r="535" spans="1:15" ht="15" customHeight="1" x14ac:dyDescent="0.25">
      <c r="A535" s="2">
        <v>1770301</v>
      </c>
      <c r="B535" s="2" t="s">
        <v>1799</v>
      </c>
      <c r="C535" s="2" t="s">
        <v>193</v>
      </c>
      <c r="D535" s="2" t="s">
        <v>556</v>
      </c>
      <c r="E535" s="2" t="s">
        <v>1822</v>
      </c>
      <c r="F535" s="2" t="s">
        <v>398</v>
      </c>
      <c r="H535" s="2">
        <v>0</v>
      </c>
      <c r="L535" s="2" t="s">
        <v>1823</v>
      </c>
    </row>
    <row r="536" spans="1:15" ht="15" customHeight="1" x14ac:dyDescent="0.25">
      <c r="A536" s="2">
        <v>1771301</v>
      </c>
      <c r="B536" s="2" t="s">
        <v>1799</v>
      </c>
      <c r="C536" s="2" t="s">
        <v>193</v>
      </c>
      <c r="D536" s="2" t="s">
        <v>556</v>
      </c>
      <c r="E536" s="2" t="s">
        <v>1824</v>
      </c>
      <c r="F536" s="2" t="s">
        <v>295</v>
      </c>
      <c r="G536" s="2" t="s">
        <v>679</v>
      </c>
      <c r="H536" s="2">
        <v>5</v>
      </c>
      <c r="I536" s="2">
        <v>5</v>
      </c>
      <c r="J536" s="2">
        <v>5</v>
      </c>
      <c r="L536" s="2" t="s">
        <v>249</v>
      </c>
      <c r="M536" s="2" t="s">
        <v>1825</v>
      </c>
      <c r="N536" s="2" t="s">
        <v>1826</v>
      </c>
    </row>
    <row r="537" spans="1:15" ht="15" customHeight="1" x14ac:dyDescent="0.25">
      <c r="A537" s="2">
        <v>1771201</v>
      </c>
      <c r="B537" s="2" t="s">
        <v>1799</v>
      </c>
      <c r="C537" s="2" t="s">
        <v>193</v>
      </c>
      <c r="D537" s="2" t="s">
        <v>554</v>
      </c>
      <c r="E537" s="2" t="s">
        <v>1827</v>
      </c>
      <c r="F537" s="2" t="s">
        <v>297</v>
      </c>
      <c r="H537" s="2">
        <v>2</v>
      </c>
      <c r="L537" s="2" t="s">
        <v>1828</v>
      </c>
    </row>
    <row r="538" spans="1:15" ht="15" customHeight="1" x14ac:dyDescent="0.25">
      <c r="A538" s="2">
        <v>1771202</v>
      </c>
      <c r="B538" s="2" t="s">
        <v>1799</v>
      </c>
      <c r="C538" s="2" t="s">
        <v>193</v>
      </c>
      <c r="D538" s="2" t="s">
        <v>554</v>
      </c>
      <c r="E538" s="2" t="s">
        <v>1829</v>
      </c>
      <c r="F538" s="2" t="s">
        <v>295</v>
      </c>
      <c r="G538" s="2" t="s">
        <v>680</v>
      </c>
      <c r="H538" s="2">
        <v>2</v>
      </c>
      <c r="I538" s="2">
        <v>2</v>
      </c>
      <c r="J538" s="2">
        <v>2</v>
      </c>
      <c r="L538" s="2" t="s">
        <v>1830</v>
      </c>
      <c r="M538" s="2" t="s">
        <v>259</v>
      </c>
      <c r="N538" s="2" t="s">
        <v>1831</v>
      </c>
      <c r="O538" s="2" t="s">
        <v>692</v>
      </c>
    </row>
    <row r="539" spans="1:15" ht="15" customHeight="1" x14ac:dyDescent="0.25">
      <c r="A539" s="2">
        <v>1770102</v>
      </c>
      <c r="B539" s="2" t="s">
        <v>1799</v>
      </c>
      <c r="C539" s="2" t="s">
        <v>193</v>
      </c>
      <c r="D539" s="2" t="s">
        <v>552</v>
      </c>
      <c r="E539" s="2" t="s">
        <v>1832</v>
      </c>
      <c r="F539" s="2" t="s">
        <v>295</v>
      </c>
      <c r="G539" s="2" t="s">
        <v>680</v>
      </c>
      <c r="H539" s="2">
        <v>9</v>
      </c>
      <c r="I539" s="2">
        <v>6</v>
      </c>
      <c r="J539" s="2">
        <v>12</v>
      </c>
      <c r="L539" s="2" t="s">
        <v>251</v>
      </c>
      <c r="M539" s="2" t="s">
        <v>1833</v>
      </c>
      <c r="N539" s="2" t="s">
        <v>1834</v>
      </c>
    </row>
    <row r="540" spans="1:15" ht="15" customHeight="1" x14ac:dyDescent="0.25">
      <c r="A540" s="2">
        <v>1771302</v>
      </c>
      <c r="B540" s="2" t="s">
        <v>1799</v>
      </c>
      <c r="C540" s="2" t="s">
        <v>193</v>
      </c>
      <c r="D540" s="2" t="s">
        <v>556</v>
      </c>
      <c r="E540" s="2" t="s">
        <v>1835</v>
      </c>
      <c r="F540" s="2" t="s">
        <v>295</v>
      </c>
      <c r="G540" s="2" t="s">
        <v>680</v>
      </c>
      <c r="H540" s="2">
        <v>2</v>
      </c>
      <c r="I540" s="2">
        <v>2</v>
      </c>
      <c r="J540" s="2">
        <v>2</v>
      </c>
      <c r="L540" s="2" t="s">
        <v>1836</v>
      </c>
      <c r="M540" s="2" t="s">
        <v>1837</v>
      </c>
    </row>
    <row r="541" spans="1:15" ht="15" customHeight="1" x14ac:dyDescent="0.25">
      <c r="A541" s="2">
        <v>1770103</v>
      </c>
      <c r="B541" s="2" t="s">
        <v>1799</v>
      </c>
      <c r="C541" s="2" t="s">
        <v>193</v>
      </c>
      <c r="D541" s="2" t="s">
        <v>552</v>
      </c>
      <c r="E541" s="2" t="s">
        <v>1838</v>
      </c>
      <c r="F541" s="2" t="s">
        <v>551</v>
      </c>
      <c r="H541" s="2">
        <v>0</v>
      </c>
      <c r="L541" s="2" t="s">
        <v>1839</v>
      </c>
    </row>
    <row r="542" spans="1:15" ht="15" customHeight="1" x14ac:dyDescent="0.25">
      <c r="A542" s="2">
        <v>1771102</v>
      </c>
      <c r="B542" s="2" t="s">
        <v>1799</v>
      </c>
      <c r="C542" s="2" t="s">
        <v>193</v>
      </c>
      <c r="D542" s="2" t="s">
        <v>552</v>
      </c>
      <c r="E542" s="2" t="s">
        <v>1840</v>
      </c>
      <c r="F542" s="2" t="s">
        <v>299</v>
      </c>
      <c r="G542" s="2" t="s">
        <v>680</v>
      </c>
      <c r="H542" s="2">
        <v>1</v>
      </c>
      <c r="L542" s="2" t="s">
        <v>1841</v>
      </c>
      <c r="M542" s="2" t="s">
        <v>1842</v>
      </c>
      <c r="N542" s="2" t="s">
        <v>1843</v>
      </c>
    </row>
    <row r="543" spans="1:15" ht="15" customHeight="1" x14ac:dyDescent="0.25">
      <c r="A543" s="2">
        <v>1771303</v>
      </c>
      <c r="B543" s="2" t="s">
        <v>1799</v>
      </c>
      <c r="C543" s="2" t="s">
        <v>193</v>
      </c>
      <c r="D543" s="2" t="s">
        <v>556</v>
      </c>
      <c r="E543" s="2" t="s">
        <v>1844</v>
      </c>
      <c r="F543" s="2" t="s">
        <v>297</v>
      </c>
      <c r="G543" s="2" t="s">
        <v>679</v>
      </c>
      <c r="H543" s="2">
        <v>1</v>
      </c>
      <c r="L543" s="2" t="s">
        <v>1845</v>
      </c>
      <c r="M543" s="2" t="s">
        <v>1846</v>
      </c>
    </row>
    <row r="544" spans="1:15" ht="15" customHeight="1" x14ac:dyDescent="0.25">
      <c r="A544" s="2">
        <v>1601401</v>
      </c>
      <c r="B544" s="2" t="s">
        <v>1688</v>
      </c>
      <c r="C544" s="2" t="s">
        <v>225</v>
      </c>
      <c r="D544" s="2" t="s">
        <v>558</v>
      </c>
      <c r="E544" s="2" t="s">
        <v>1847</v>
      </c>
      <c r="F544" s="2" t="s">
        <v>295</v>
      </c>
      <c r="H544" s="2">
        <v>2</v>
      </c>
      <c r="I544" s="2">
        <v>2</v>
      </c>
      <c r="J544" s="2">
        <v>2</v>
      </c>
      <c r="L544" s="2" t="s">
        <v>1848</v>
      </c>
    </row>
    <row r="545" spans="1:14" ht="15" customHeight="1" x14ac:dyDescent="0.25">
      <c r="A545" s="2">
        <v>1601202</v>
      </c>
      <c r="B545" s="2" t="s">
        <v>1688</v>
      </c>
      <c r="C545" s="2" t="s">
        <v>225</v>
      </c>
      <c r="D545" s="2" t="s">
        <v>554</v>
      </c>
      <c r="E545" s="2" t="s">
        <v>1849</v>
      </c>
      <c r="F545" s="2" t="s">
        <v>295</v>
      </c>
      <c r="H545" s="2">
        <v>2</v>
      </c>
      <c r="I545" s="2">
        <v>1</v>
      </c>
      <c r="J545" s="2">
        <v>1</v>
      </c>
      <c r="L545" s="2" t="s">
        <v>1850</v>
      </c>
      <c r="M545" s="2" t="s">
        <v>1851</v>
      </c>
      <c r="N545" s="2" t="s">
        <v>265</v>
      </c>
    </row>
    <row r="546" spans="1:14" ht="15" customHeight="1" x14ac:dyDescent="0.25">
      <c r="A546" s="2">
        <v>1601301</v>
      </c>
      <c r="B546" s="2" t="s">
        <v>1688</v>
      </c>
      <c r="C546" s="2" t="s">
        <v>225</v>
      </c>
      <c r="D546" s="2" t="s">
        <v>556</v>
      </c>
      <c r="E546" s="2" t="s">
        <v>1852</v>
      </c>
      <c r="F546" s="2" t="s">
        <v>295</v>
      </c>
      <c r="H546" s="2">
        <v>3</v>
      </c>
      <c r="I546" s="2">
        <v>3</v>
      </c>
      <c r="J546" s="2">
        <v>3</v>
      </c>
      <c r="L546" s="2" t="s">
        <v>263</v>
      </c>
      <c r="M546" s="2" t="s">
        <v>1742</v>
      </c>
    </row>
    <row r="547" spans="1:14" ht="15" customHeight="1" x14ac:dyDescent="0.25">
      <c r="A547" s="2">
        <v>1601201</v>
      </c>
      <c r="B547" s="2" t="s">
        <v>1688</v>
      </c>
      <c r="C547" s="2" t="s">
        <v>225</v>
      </c>
      <c r="D547" s="2" t="s">
        <v>554</v>
      </c>
      <c r="E547" s="2" t="s">
        <v>1853</v>
      </c>
      <c r="F547" s="2" t="s">
        <v>295</v>
      </c>
      <c r="H547" s="2">
        <v>4</v>
      </c>
      <c r="I547" s="2">
        <v>3</v>
      </c>
      <c r="J547" s="2">
        <v>2</v>
      </c>
      <c r="L547" s="2" t="s">
        <v>1854</v>
      </c>
      <c r="M547" s="2" t="s">
        <v>1706</v>
      </c>
    </row>
    <row r="548" spans="1:14" ht="15" customHeight="1" x14ac:dyDescent="0.25">
      <c r="A548" s="2">
        <v>1610301</v>
      </c>
      <c r="B548" s="2" t="s">
        <v>1688</v>
      </c>
      <c r="C548" s="2" t="s">
        <v>216</v>
      </c>
      <c r="D548" s="2" t="s">
        <v>556</v>
      </c>
      <c r="E548" s="2" t="s">
        <v>1857</v>
      </c>
      <c r="F548" s="2" t="s">
        <v>398</v>
      </c>
      <c r="H548" s="2">
        <v>0</v>
      </c>
      <c r="K548" s="2">
        <v>1</v>
      </c>
      <c r="L548" s="2" t="s">
        <v>990</v>
      </c>
      <c r="M548" s="2" t="s">
        <v>1858</v>
      </c>
    </row>
    <row r="549" spans="1:14" ht="15" customHeight="1" x14ac:dyDescent="0.25">
      <c r="A549" s="2">
        <v>1611301</v>
      </c>
      <c r="B549" s="2" t="s">
        <v>1688</v>
      </c>
      <c r="C549" s="2" t="s">
        <v>216</v>
      </c>
      <c r="D549" s="2" t="s">
        <v>556</v>
      </c>
      <c r="E549" s="2" t="s">
        <v>1859</v>
      </c>
      <c r="F549" s="2" t="s">
        <v>297</v>
      </c>
      <c r="H549" s="2">
        <v>1</v>
      </c>
      <c r="L549" s="2" t="s">
        <v>705</v>
      </c>
      <c r="M549" s="2" t="s">
        <v>1860</v>
      </c>
    </row>
    <row r="550" spans="1:14" ht="15" customHeight="1" x14ac:dyDescent="0.25">
      <c r="A550" s="2">
        <v>1611302</v>
      </c>
      <c r="B550" s="2" t="s">
        <v>1688</v>
      </c>
      <c r="C550" s="2" t="s">
        <v>216</v>
      </c>
      <c r="D550" s="2" t="s">
        <v>556</v>
      </c>
      <c r="E550" s="2" t="s">
        <v>1861</v>
      </c>
      <c r="F550" s="2" t="s">
        <v>295</v>
      </c>
      <c r="H550" s="2">
        <v>2</v>
      </c>
      <c r="I550" s="2">
        <v>2</v>
      </c>
      <c r="J550" s="2">
        <v>2</v>
      </c>
      <c r="L550" s="2" t="s">
        <v>1862</v>
      </c>
      <c r="M550" s="2" t="s">
        <v>1863</v>
      </c>
    </row>
    <row r="551" spans="1:14" ht="15" customHeight="1" x14ac:dyDescent="0.25">
      <c r="A551" s="2">
        <v>1611101</v>
      </c>
      <c r="B551" s="2" t="s">
        <v>1688</v>
      </c>
      <c r="C551" s="2" t="s">
        <v>216</v>
      </c>
      <c r="D551" s="2" t="s">
        <v>552</v>
      </c>
      <c r="E551" s="2" t="s">
        <v>1864</v>
      </c>
      <c r="F551" s="2" t="s">
        <v>295</v>
      </c>
      <c r="H551" s="2">
        <v>2</v>
      </c>
      <c r="I551" s="2">
        <v>2</v>
      </c>
      <c r="J551" s="2">
        <v>1</v>
      </c>
      <c r="L551" s="2" t="s">
        <v>1865</v>
      </c>
    </row>
    <row r="552" spans="1:14" ht="15" customHeight="1" x14ac:dyDescent="0.25">
      <c r="A552" s="2">
        <v>1611401</v>
      </c>
      <c r="B552" s="2" t="s">
        <v>1688</v>
      </c>
      <c r="C552" s="2" t="s">
        <v>216</v>
      </c>
      <c r="D552" s="2" t="s">
        <v>558</v>
      </c>
      <c r="E552" s="2" t="s">
        <v>1866</v>
      </c>
      <c r="F552" s="2" t="s">
        <v>297</v>
      </c>
      <c r="H552" s="2">
        <v>2</v>
      </c>
      <c r="L552" s="2" t="s">
        <v>849</v>
      </c>
      <c r="M552" s="2" t="s">
        <v>1867</v>
      </c>
    </row>
    <row r="553" spans="1:14" ht="15" customHeight="1" x14ac:dyDescent="0.25">
      <c r="A553" s="2">
        <v>1611202</v>
      </c>
      <c r="B553" s="2" t="s">
        <v>1688</v>
      </c>
      <c r="C553" s="2" t="s">
        <v>216</v>
      </c>
      <c r="D553" s="2" t="s">
        <v>554</v>
      </c>
      <c r="E553" s="2" t="s">
        <v>1868</v>
      </c>
      <c r="F553" s="2" t="s">
        <v>297</v>
      </c>
      <c r="H553" s="2">
        <v>2</v>
      </c>
      <c r="L553" s="2" t="s">
        <v>1869</v>
      </c>
    </row>
    <row r="554" spans="1:14" ht="15" customHeight="1" x14ac:dyDescent="0.25">
      <c r="A554" s="2">
        <v>1571407</v>
      </c>
      <c r="B554" s="2" t="s">
        <v>691</v>
      </c>
      <c r="C554" s="2" t="s">
        <v>193</v>
      </c>
      <c r="D554" s="2" t="s">
        <v>558</v>
      </c>
      <c r="E554" s="2" t="s">
        <v>47</v>
      </c>
      <c r="F554" s="2" t="s">
        <v>295</v>
      </c>
      <c r="H554" s="2">
        <v>4</v>
      </c>
      <c r="I554" s="2">
        <v>3</v>
      </c>
      <c r="J554" s="2">
        <v>3</v>
      </c>
      <c r="L554" s="2" t="s">
        <v>1871</v>
      </c>
      <c r="M554" s="2" t="s">
        <v>1872</v>
      </c>
      <c r="N554" s="2" t="s">
        <v>1873</v>
      </c>
    </row>
    <row r="555" spans="1:14" ht="15" customHeight="1" x14ac:dyDescent="0.25">
      <c r="A555" s="2">
        <v>1570301</v>
      </c>
      <c r="B555" s="2" t="s">
        <v>691</v>
      </c>
      <c r="C555" s="2" t="s">
        <v>193</v>
      </c>
      <c r="D555" s="2" t="s">
        <v>556</v>
      </c>
      <c r="E555" s="2" t="s">
        <v>205</v>
      </c>
      <c r="F555" s="2" t="s">
        <v>398</v>
      </c>
      <c r="H555" s="2">
        <v>0</v>
      </c>
      <c r="K555" s="2">
        <v>1</v>
      </c>
      <c r="L555" s="2" t="s">
        <v>1875</v>
      </c>
    </row>
    <row r="556" spans="1:14" ht="15" customHeight="1" x14ac:dyDescent="0.25">
      <c r="A556" s="2">
        <v>1510101</v>
      </c>
      <c r="B556" s="2" t="s">
        <v>691</v>
      </c>
      <c r="C556" s="2" t="s">
        <v>216</v>
      </c>
      <c r="D556" s="2" t="s">
        <v>552</v>
      </c>
      <c r="E556" s="2" t="s">
        <v>1778</v>
      </c>
      <c r="F556" s="2" t="s">
        <v>297</v>
      </c>
      <c r="H556" s="2">
        <v>4</v>
      </c>
      <c r="L556" s="2" t="s">
        <v>1779</v>
      </c>
    </row>
    <row r="557" spans="1:14" ht="15" customHeight="1" x14ac:dyDescent="0.25">
      <c r="A557" s="2">
        <v>1510202</v>
      </c>
      <c r="B557" s="2" t="s">
        <v>691</v>
      </c>
      <c r="C557" s="2" t="s">
        <v>216</v>
      </c>
      <c r="D557" s="2" t="s">
        <v>554</v>
      </c>
      <c r="E557" s="2" t="s">
        <v>1775</v>
      </c>
      <c r="F557" s="2" t="s">
        <v>398</v>
      </c>
      <c r="H557" s="2">
        <v>0</v>
      </c>
      <c r="K557" s="2">
        <v>1</v>
      </c>
      <c r="L557" s="2" t="s">
        <v>1434</v>
      </c>
      <c r="M557" s="2" t="s">
        <v>1893</v>
      </c>
    </row>
    <row r="558" spans="1:14" ht="15" customHeight="1" x14ac:dyDescent="0.25">
      <c r="A558" s="2">
        <v>1510301</v>
      </c>
      <c r="B558" s="2" t="s">
        <v>691</v>
      </c>
      <c r="C558" s="2" t="s">
        <v>216</v>
      </c>
      <c r="D558" s="2" t="s">
        <v>556</v>
      </c>
      <c r="E558" s="2" t="s">
        <v>1771</v>
      </c>
      <c r="F558" s="2" t="s">
        <v>398</v>
      </c>
      <c r="H558" s="2">
        <v>0</v>
      </c>
      <c r="K558" s="2">
        <v>1</v>
      </c>
      <c r="L558" s="2" t="s">
        <v>1772</v>
      </c>
      <c r="M558" s="2" t="s">
        <v>1893</v>
      </c>
    </row>
    <row r="559" spans="1:14" ht="15" customHeight="1" x14ac:dyDescent="0.25">
      <c r="A559" s="2">
        <v>1511305</v>
      </c>
      <c r="B559" s="2" t="s">
        <v>691</v>
      </c>
      <c r="C559" s="2" t="s">
        <v>216</v>
      </c>
      <c r="D559" s="2" t="s">
        <v>556</v>
      </c>
      <c r="E559" s="2" t="s">
        <v>1896</v>
      </c>
      <c r="F559" s="2" t="s">
        <v>295</v>
      </c>
      <c r="H559" s="2">
        <v>2</v>
      </c>
      <c r="I559" s="2">
        <v>1</v>
      </c>
      <c r="J559" s="2">
        <v>2</v>
      </c>
      <c r="L559" s="2" t="s">
        <v>1773</v>
      </c>
      <c r="M559" s="2" t="s">
        <v>1774</v>
      </c>
    </row>
    <row r="560" spans="1:14" ht="15" customHeight="1" x14ac:dyDescent="0.25">
      <c r="A560" s="2">
        <v>1510401</v>
      </c>
      <c r="B560" s="2" t="s">
        <v>691</v>
      </c>
      <c r="C560" s="2" t="s">
        <v>216</v>
      </c>
      <c r="D560" s="2" t="s">
        <v>558</v>
      </c>
      <c r="E560" s="2" t="s">
        <v>1763</v>
      </c>
      <c r="F560" s="2" t="s">
        <v>398</v>
      </c>
      <c r="H560" s="2">
        <v>0</v>
      </c>
      <c r="K560" s="2">
        <v>1</v>
      </c>
      <c r="L560" s="2" t="s">
        <v>1764</v>
      </c>
      <c r="M560" s="2" t="s">
        <v>1893</v>
      </c>
    </row>
    <row r="561" spans="1:13" ht="15" customHeight="1" x14ac:dyDescent="0.25">
      <c r="A561" s="2">
        <v>1511401</v>
      </c>
      <c r="B561" s="2" t="s">
        <v>691</v>
      </c>
      <c r="C561" s="2" t="s">
        <v>216</v>
      </c>
      <c r="D561" s="2" t="s">
        <v>558</v>
      </c>
      <c r="E561" s="2" t="s">
        <v>1765</v>
      </c>
      <c r="F561" s="2" t="s">
        <v>295</v>
      </c>
      <c r="H561" s="2">
        <v>3</v>
      </c>
      <c r="I561" s="2">
        <v>2</v>
      </c>
      <c r="J561" s="2">
        <v>3</v>
      </c>
      <c r="L561" s="2" t="s">
        <v>257</v>
      </c>
      <c r="M561" s="2" t="s">
        <v>1766</v>
      </c>
    </row>
    <row r="562" spans="1:13" ht="15" customHeight="1" x14ac:dyDescent="0.25">
      <c r="A562" s="2">
        <v>1461304</v>
      </c>
      <c r="B562" s="2" t="s">
        <v>1574</v>
      </c>
      <c r="C562" s="2" t="s">
        <v>224</v>
      </c>
      <c r="D562" s="2" t="s">
        <v>556</v>
      </c>
      <c r="E562" s="2" t="s">
        <v>1649</v>
      </c>
      <c r="F562" s="2" t="s">
        <v>295</v>
      </c>
      <c r="H562" s="2">
        <v>9</v>
      </c>
      <c r="I562" s="2">
        <v>6</v>
      </c>
      <c r="J562" s="2">
        <v>8</v>
      </c>
      <c r="L562" s="2" t="s">
        <v>251</v>
      </c>
      <c r="M562" s="2" t="s">
        <v>1903</v>
      </c>
    </row>
    <row r="563" spans="1:13" ht="15" customHeight="1" x14ac:dyDescent="0.25">
      <c r="A563" s="2">
        <v>1060401</v>
      </c>
      <c r="B563" s="2" t="s">
        <v>695</v>
      </c>
      <c r="C563" s="2" t="s">
        <v>224</v>
      </c>
      <c r="D563" s="2" t="s">
        <v>558</v>
      </c>
      <c r="E563" s="2" t="s">
        <v>766</v>
      </c>
      <c r="F563" s="2" t="s">
        <v>295</v>
      </c>
      <c r="G563" s="2" t="s">
        <v>1906</v>
      </c>
      <c r="H563" s="2">
        <v>3</v>
      </c>
      <c r="I563" s="2">
        <v>2</v>
      </c>
      <c r="J563" s="2">
        <v>2</v>
      </c>
      <c r="L563" s="2" t="s">
        <v>251</v>
      </c>
    </row>
    <row r="564" spans="1:13" ht="15" customHeight="1" x14ac:dyDescent="0.25">
      <c r="A564" s="2">
        <v>1060402</v>
      </c>
      <c r="B564" s="2" t="s">
        <v>695</v>
      </c>
      <c r="C564" s="2" t="s">
        <v>224</v>
      </c>
      <c r="D564" s="2" t="s">
        <v>558</v>
      </c>
      <c r="E564" s="2" t="s">
        <v>767</v>
      </c>
      <c r="F564" s="2" t="s">
        <v>295</v>
      </c>
      <c r="G564" s="2" t="s">
        <v>1906</v>
      </c>
      <c r="H564" s="2">
        <v>6</v>
      </c>
      <c r="I564" s="2">
        <v>4</v>
      </c>
      <c r="J564" s="2">
        <v>4</v>
      </c>
      <c r="L564" s="2" t="s">
        <v>251</v>
      </c>
    </row>
    <row r="565" spans="1:13" ht="15" customHeight="1" x14ac:dyDescent="0.25">
      <c r="A565" s="2">
        <v>1451405</v>
      </c>
      <c r="B565" s="2" t="s">
        <v>1574</v>
      </c>
      <c r="C565" s="2" t="s">
        <v>222</v>
      </c>
      <c r="D565" s="2" t="s">
        <v>558</v>
      </c>
      <c r="E565" s="2" t="s">
        <v>1634</v>
      </c>
      <c r="F565" s="2" t="s">
        <v>295</v>
      </c>
      <c r="H565" s="2">
        <v>6</v>
      </c>
      <c r="I565" s="2">
        <v>3</v>
      </c>
      <c r="J565" s="2">
        <v>6</v>
      </c>
      <c r="L565" s="2" t="s">
        <v>1918</v>
      </c>
      <c r="M565" s="2" t="s">
        <v>251</v>
      </c>
    </row>
    <row r="566" spans="1:13" ht="15" customHeight="1" x14ac:dyDescent="0.25">
      <c r="A566" s="2">
        <v>1260401</v>
      </c>
      <c r="B566" s="2" t="s">
        <v>1006</v>
      </c>
      <c r="C566" s="2" t="s">
        <v>224</v>
      </c>
      <c r="D566" s="2" t="s">
        <v>558</v>
      </c>
      <c r="E566" s="2" t="s">
        <v>1294</v>
      </c>
      <c r="F566" s="2" t="s">
        <v>295</v>
      </c>
      <c r="G566" s="2" t="s">
        <v>1906</v>
      </c>
      <c r="H566" s="2">
        <v>4</v>
      </c>
      <c r="I566" s="2">
        <v>4</v>
      </c>
      <c r="J566" s="2">
        <v>4</v>
      </c>
      <c r="L566" s="2" t="s">
        <v>249</v>
      </c>
    </row>
    <row r="567" spans="1:13" ht="15" customHeight="1" x14ac:dyDescent="0.25">
      <c r="A567" s="2">
        <v>1611303</v>
      </c>
      <c r="B567" s="2" t="s">
        <v>1688</v>
      </c>
      <c r="C567" s="2" t="s">
        <v>216</v>
      </c>
      <c r="D567" s="2" t="s">
        <v>556</v>
      </c>
      <c r="E567" s="2" t="s">
        <v>1920</v>
      </c>
      <c r="F567" s="2" t="s">
        <v>295</v>
      </c>
      <c r="H567" s="2">
        <v>5</v>
      </c>
      <c r="I567" s="2">
        <v>5</v>
      </c>
      <c r="J567" s="2">
        <v>4</v>
      </c>
      <c r="L567" s="2" t="s">
        <v>1921</v>
      </c>
    </row>
    <row r="568" spans="1:13" ht="15" customHeight="1" x14ac:dyDescent="0.25">
      <c r="A568" s="2">
        <v>1611403</v>
      </c>
      <c r="B568" s="2" t="s">
        <v>1688</v>
      </c>
      <c r="C568" s="2" t="s">
        <v>216</v>
      </c>
      <c r="D568" s="2" t="s">
        <v>558</v>
      </c>
      <c r="E568" s="2" t="s">
        <v>1925</v>
      </c>
      <c r="F568" s="2" t="s">
        <v>295</v>
      </c>
      <c r="H568" s="2">
        <v>7</v>
      </c>
      <c r="I568" s="2">
        <v>8</v>
      </c>
      <c r="J568" s="2">
        <v>6</v>
      </c>
      <c r="L568" s="2" t="s">
        <v>1100</v>
      </c>
      <c r="M568" s="2" t="s">
        <v>1926</v>
      </c>
    </row>
    <row r="569" spans="1:13" ht="15" customHeight="1" x14ac:dyDescent="0.25">
      <c r="A569" s="2">
        <v>1611404</v>
      </c>
      <c r="B569" s="2" t="s">
        <v>1688</v>
      </c>
      <c r="C569" s="2" t="s">
        <v>216</v>
      </c>
      <c r="D569" s="2" t="s">
        <v>558</v>
      </c>
      <c r="E569" s="2" t="s">
        <v>1922</v>
      </c>
      <c r="F569" s="2" t="s">
        <v>295</v>
      </c>
      <c r="H569" s="2">
        <v>4</v>
      </c>
      <c r="I569" s="2">
        <v>2</v>
      </c>
      <c r="J569" s="2">
        <v>1</v>
      </c>
      <c r="L569" s="2" t="s">
        <v>1923</v>
      </c>
      <c r="M569" s="2" t="s">
        <v>1924</v>
      </c>
    </row>
    <row r="570" spans="1:13" ht="15" customHeight="1" x14ac:dyDescent="0.25">
      <c r="A570" s="2">
        <v>1621301</v>
      </c>
      <c r="B570" s="2" t="s">
        <v>1688</v>
      </c>
      <c r="C570" s="2" t="s">
        <v>218</v>
      </c>
      <c r="D570" s="2" t="s">
        <v>556</v>
      </c>
      <c r="E570" s="2" t="s">
        <v>1929</v>
      </c>
      <c r="F570" s="2" t="s">
        <v>295</v>
      </c>
      <c r="H570" s="2">
        <v>4</v>
      </c>
      <c r="I570" s="2">
        <v>2</v>
      </c>
      <c r="J570" s="2">
        <v>6</v>
      </c>
      <c r="L570" s="2" t="s">
        <v>253</v>
      </c>
      <c r="M570" s="2" t="s">
        <v>255</v>
      </c>
    </row>
    <row r="571" spans="1:13" ht="15" customHeight="1" x14ac:dyDescent="0.25">
      <c r="A571" s="2">
        <v>1621302</v>
      </c>
      <c r="B571" s="2" t="s">
        <v>1688</v>
      </c>
      <c r="C571" s="2" t="s">
        <v>218</v>
      </c>
      <c r="D571" s="2" t="s">
        <v>556</v>
      </c>
      <c r="E571" s="2" t="s">
        <v>1930</v>
      </c>
      <c r="F571" s="2" t="s">
        <v>295</v>
      </c>
      <c r="H571" s="2">
        <v>3</v>
      </c>
      <c r="I571" s="2">
        <v>5</v>
      </c>
      <c r="J571" s="2">
        <v>4</v>
      </c>
    </row>
    <row r="572" spans="1:13" ht="15" customHeight="1" x14ac:dyDescent="0.25">
      <c r="A572" s="2">
        <v>1621303</v>
      </c>
      <c r="B572" s="2" t="s">
        <v>1688</v>
      </c>
      <c r="C572" s="2" t="s">
        <v>218</v>
      </c>
      <c r="D572" s="2" t="s">
        <v>556</v>
      </c>
      <c r="E572" s="2" t="s">
        <v>1931</v>
      </c>
      <c r="F572" s="2" t="s">
        <v>295</v>
      </c>
      <c r="H572" s="2">
        <v>6</v>
      </c>
      <c r="I572" s="2">
        <v>5</v>
      </c>
      <c r="J572" s="2">
        <v>3</v>
      </c>
      <c r="L572" s="2" t="s">
        <v>261</v>
      </c>
      <c r="M572" s="2" t="s">
        <v>1932</v>
      </c>
    </row>
    <row r="573" spans="1:13" ht="15" customHeight="1" x14ac:dyDescent="0.25">
      <c r="A573" s="2">
        <v>1621401</v>
      </c>
      <c r="B573" s="2" t="s">
        <v>1688</v>
      </c>
      <c r="C573" s="2" t="s">
        <v>218</v>
      </c>
      <c r="D573" s="2" t="s">
        <v>558</v>
      </c>
      <c r="E573" s="2" t="s">
        <v>1933</v>
      </c>
      <c r="F573" s="2" t="s">
        <v>295</v>
      </c>
      <c r="H573" s="2">
        <v>3</v>
      </c>
      <c r="I573" s="2">
        <v>2</v>
      </c>
      <c r="J573" s="2">
        <v>1</v>
      </c>
      <c r="L573" s="2" t="s">
        <v>251</v>
      </c>
      <c r="M573" s="2" t="s">
        <v>1936</v>
      </c>
    </row>
    <row r="574" spans="1:13" ht="15" customHeight="1" x14ac:dyDescent="0.25">
      <c r="A574" s="2">
        <v>1621402</v>
      </c>
      <c r="B574" s="2" t="s">
        <v>1688</v>
      </c>
      <c r="C574" s="2" t="s">
        <v>218</v>
      </c>
      <c r="D574" s="2" t="s">
        <v>558</v>
      </c>
      <c r="E574" s="2" t="s">
        <v>1934</v>
      </c>
      <c r="F574" s="2" t="s">
        <v>295</v>
      </c>
      <c r="H574" s="2">
        <v>3</v>
      </c>
      <c r="I574" s="2">
        <v>2</v>
      </c>
      <c r="J574" s="2">
        <v>3</v>
      </c>
      <c r="L574" s="2" t="s">
        <v>257</v>
      </c>
      <c r="M574" s="2" t="s">
        <v>1935</v>
      </c>
    </row>
    <row r="575" spans="1:13" ht="15" customHeight="1" x14ac:dyDescent="0.25">
      <c r="A575" s="2">
        <v>1621403</v>
      </c>
      <c r="B575" s="2" t="s">
        <v>1688</v>
      </c>
      <c r="C575" s="2" t="s">
        <v>218</v>
      </c>
      <c r="D575" s="2" t="s">
        <v>558</v>
      </c>
      <c r="E575" s="2" t="s">
        <v>1937</v>
      </c>
      <c r="F575" s="2" t="s">
        <v>295</v>
      </c>
      <c r="H575" s="2">
        <v>2</v>
      </c>
      <c r="I575" s="2">
        <v>3</v>
      </c>
      <c r="J575" s="2">
        <v>2</v>
      </c>
      <c r="L575" s="2" t="s">
        <v>1938</v>
      </c>
    </row>
    <row r="576" spans="1:13" ht="15" customHeight="1" x14ac:dyDescent="0.25">
      <c r="A576" s="2">
        <v>1621203</v>
      </c>
      <c r="B576" s="2" t="s">
        <v>1688</v>
      </c>
      <c r="C576" s="2" t="s">
        <v>218</v>
      </c>
      <c r="D576" s="2" t="s">
        <v>554</v>
      </c>
      <c r="E576" s="2" t="s">
        <v>1928</v>
      </c>
      <c r="F576" s="2" t="s">
        <v>295</v>
      </c>
      <c r="H576" s="2">
        <v>7</v>
      </c>
      <c r="I576" s="2">
        <v>6</v>
      </c>
      <c r="J576" s="2">
        <v>6</v>
      </c>
      <c r="L576" s="2" t="s">
        <v>1939</v>
      </c>
    </row>
    <row r="577" spans="1:13" ht="15" customHeight="1" x14ac:dyDescent="0.25">
      <c r="A577" s="2">
        <v>1621103</v>
      </c>
      <c r="B577" s="2" t="s">
        <v>1688</v>
      </c>
      <c r="C577" s="2" t="s">
        <v>218</v>
      </c>
      <c r="D577" s="2" t="s">
        <v>552</v>
      </c>
      <c r="E577" s="2" t="s">
        <v>1927</v>
      </c>
      <c r="F577" s="2" t="s">
        <v>295</v>
      </c>
      <c r="H577" s="2">
        <v>4</v>
      </c>
      <c r="I577" s="2">
        <v>4</v>
      </c>
      <c r="J577" s="2">
        <v>3</v>
      </c>
      <c r="L577" s="2" t="s">
        <v>1940</v>
      </c>
    </row>
    <row r="578" spans="1:13" ht="15" customHeight="1" x14ac:dyDescent="0.25">
      <c r="A578" s="2">
        <v>1631202</v>
      </c>
      <c r="B578" s="2" t="s">
        <v>1688</v>
      </c>
      <c r="C578" s="2" t="s">
        <v>219</v>
      </c>
      <c r="D578" s="2" t="s">
        <v>554</v>
      </c>
      <c r="E578" s="2" t="s">
        <v>1941</v>
      </c>
      <c r="F578" s="2" t="s">
        <v>295</v>
      </c>
      <c r="H578" s="2">
        <v>3</v>
      </c>
      <c r="I578" s="2">
        <v>2</v>
      </c>
      <c r="J578" s="2">
        <v>1</v>
      </c>
      <c r="L578" s="2" t="s">
        <v>1942</v>
      </c>
    </row>
    <row r="579" spans="1:13" ht="15" customHeight="1" x14ac:dyDescent="0.25">
      <c r="A579" s="2">
        <v>1631301</v>
      </c>
      <c r="B579" s="2" t="s">
        <v>1688</v>
      </c>
      <c r="C579" s="2" t="s">
        <v>219</v>
      </c>
      <c r="D579" s="2" t="s">
        <v>556</v>
      </c>
      <c r="E579" s="2" t="s">
        <v>1943</v>
      </c>
      <c r="F579" s="2" t="s">
        <v>297</v>
      </c>
      <c r="H579" s="2">
        <v>4</v>
      </c>
      <c r="L579" s="2" t="s">
        <v>1944</v>
      </c>
    </row>
    <row r="580" spans="1:13" ht="15" customHeight="1" x14ac:dyDescent="0.25">
      <c r="A580" s="2">
        <v>1631302</v>
      </c>
      <c r="B580" s="2" t="s">
        <v>1688</v>
      </c>
      <c r="C580" s="2" t="s">
        <v>219</v>
      </c>
      <c r="D580" s="2" t="s">
        <v>556</v>
      </c>
      <c r="E580" s="2" t="s">
        <v>1946</v>
      </c>
      <c r="F580" s="2" t="s">
        <v>295</v>
      </c>
      <c r="H580" s="2">
        <v>6</v>
      </c>
      <c r="I580" s="2">
        <v>6</v>
      </c>
      <c r="J580" s="2">
        <v>5</v>
      </c>
      <c r="L580" s="2" t="s">
        <v>1947</v>
      </c>
    </row>
    <row r="581" spans="1:13" ht="15" customHeight="1" x14ac:dyDescent="0.25">
      <c r="A581" s="2">
        <v>1631303</v>
      </c>
      <c r="B581" s="2" t="s">
        <v>1688</v>
      </c>
      <c r="C581" s="2" t="s">
        <v>219</v>
      </c>
      <c r="D581" s="2" t="s">
        <v>556</v>
      </c>
      <c r="E581" s="2" t="s">
        <v>1945</v>
      </c>
      <c r="F581" s="2" t="s">
        <v>295</v>
      </c>
      <c r="H581" s="2">
        <v>5</v>
      </c>
      <c r="I581" s="2">
        <v>3</v>
      </c>
      <c r="J581" s="2">
        <v>3</v>
      </c>
      <c r="L581" s="2" t="s">
        <v>1948</v>
      </c>
    </row>
    <row r="582" spans="1:13" ht="15" customHeight="1" x14ac:dyDescent="0.25">
      <c r="A582" s="2">
        <v>1631401</v>
      </c>
      <c r="B582" s="2" t="s">
        <v>1688</v>
      </c>
      <c r="C582" s="2" t="s">
        <v>219</v>
      </c>
      <c r="D582" s="2" t="s">
        <v>558</v>
      </c>
      <c r="E582" s="2" t="s">
        <v>1949</v>
      </c>
      <c r="F582" s="2" t="s">
        <v>297</v>
      </c>
      <c r="H582" s="2">
        <v>7</v>
      </c>
      <c r="L582" s="2" t="s">
        <v>1950</v>
      </c>
    </row>
    <row r="583" spans="1:13" ht="15" customHeight="1" x14ac:dyDescent="0.25">
      <c r="A583" s="2">
        <v>1631402</v>
      </c>
      <c r="B583" s="2" t="s">
        <v>1688</v>
      </c>
      <c r="C583" s="2" t="s">
        <v>219</v>
      </c>
      <c r="D583" s="2" t="s">
        <v>558</v>
      </c>
      <c r="E583" s="2" t="s">
        <v>1951</v>
      </c>
      <c r="F583" s="2" t="s">
        <v>295</v>
      </c>
      <c r="H583" s="2">
        <v>1</v>
      </c>
      <c r="I583" s="2">
        <v>1</v>
      </c>
      <c r="J583" s="2">
        <v>1</v>
      </c>
      <c r="L583" s="2" t="s">
        <v>1952</v>
      </c>
      <c r="M583" s="2" t="s">
        <v>2413</v>
      </c>
    </row>
    <row r="584" spans="1:13" ht="15" customHeight="1" x14ac:dyDescent="0.25">
      <c r="A584" s="2">
        <v>1631403</v>
      </c>
      <c r="B584" s="2" t="s">
        <v>1688</v>
      </c>
      <c r="C584" s="2" t="s">
        <v>219</v>
      </c>
      <c r="D584" s="2" t="s">
        <v>558</v>
      </c>
      <c r="E584" s="2" t="s">
        <v>1953</v>
      </c>
      <c r="F584" s="2" t="s">
        <v>295</v>
      </c>
      <c r="H584" s="2">
        <v>3</v>
      </c>
      <c r="I584" s="2">
        <v>1</v>
      </c>
      <c r="J584" s="2">
        <v>4</v>
      </c>
      <c r="L584" s="2" t="s">
        <v>1422</v>
      </c>
    </row>
    <row r="585" spans="1:13" ht="15" customHeight="1" x14ac:dyDescent="0.25">
      <c r="A585" s="2">
        <v>1641202</v>
      </c>
      <c r="B585" s="2" t="s">
        <v>1688</v>
      </c>
      <c r="C585" s="2" t="s">
        <v>220</v>
      </c>
      <c r="D585" s="2" t="s">
        <v>554</v>
      </c>
      <c r="E585" s="2" t="s">
        <v>1958</v>
      </c>
      <c r="F585" s="2" t="s">
        <v>297</v>
      </c>
      <c r="H585" s="2">
        <v>5</v>
      </c>
      <c r="L585" s="2" t="s">
        <v>1959</v>
      </c>
    </row>
    <row r="586" spans="1:13" ht="15" customHeight="1" x14ac:dyDescent="0.25">
      <c r="A586" s="2">
        <v>1641301</v>
      </c>
      <c r="B586" s="2" t="s">
        <v>1688</v>
      </c>
      <c r="C586" s="2" t="s">
        <v>220</v>
      </c>
      <c r="D586" s="2" t="s">
        <v>556</v>
      </c>
      <c r="E586" s="2" t="s">
        <v>1960</v>
      </c>
      <c r="F586" s="2" t="s">
        <v>297</v>
      </c>
      <c r="H586" s="2">
        <v>2</v>
      </c>
      <c r="L586" s="2" t="s">
        <v>2414</v>
      </c>
    </row>
    <row r="587" spans="1:13" ht="15" customHeight="1" x14ac:dyDescent="0.25">
      <c r="A587" s="2">
        <v>1641302</v>
      </c>
      <c r="B587" s="2" t="s">
        <v>1688</v>
      </c>
      <c r="C587" s="2" t="s">
        <v>220</v>
      </c>
      <c r="D587" s="2" t="s">
        <v>556</v>
      </c>
      <c r="E587" s="2" t="s">
        <v>1961</v>
      </c>
      <c r="F587" s="2" t="s">
        <v>295</v>
      </c>
      <c r="H587" s="2">
        <v>8</v>
      </c>
      <c r="I587" s="2">
        <v>10</v>
      </c>
      <c r="J587" s="2">
        <v>8</v>
      </c>
      <c r="L587" s="2" t="s">
        <v>1962</v>
      </c>
      <c r="M587" s="2" t="s">
        <v>1443</v>
      </c>
    </row>
    <row r="588" spans="1:13" ht="15" customHeight="1" x14ac:dyDescent="0.25">
      <c r="A588" s="2">
        <v>1641303</v>
      </c>
      <c r="B588" s="2" t="s">
        <v>1688</v>
      </c>
      <c r="C588" s="2" t="s">
        <v>220</v>
      </c>
      <c r="D588" s="2" t="s">
        <v>556</v>
      </c>
      <c r="E588" s="2" t="s">
        <v>1963</v>
      </c>
      <c r="F588" s="2" t="s">
        <v>295</v>
      </c>
      <c r="H588" s="2">
        <v>5</v>
      </c>
      <c r="I588" s="2">
        <v>5</v>
      </c>
      <c r="J588" s="2">
        <v>4</v>
      </c>
      <c r="L588" s="2" t="s">
        <v>1964</v>
      </c>
      <c r="M588" s="2" t="s">
        <v>1965</v>
      </c>
    </row>
    <row r="589" spans="1:13" ht="15" customHeight="1" x14ac:dyDescent="0.25">
      <c r="A589" s="2">
        <v>1640401</v>
      </c>
      <c r="B589" s="2" t="s">
        <v>1688</v>
      </c>
      <c r="C589" s="2" t="s">
        <v>220</v>
      </c>
      <c r="D589" s="2" t="s">
        <v>558</v>
      </c>
      <c r="E589" s="2" t="s">
        <v>1967</v>
      </c>
      <c r="F589" s="2" t="s">
        <v>398</v>
      </c>
      <c r="H589" s="2">
        <v>0</v>
      </c>
      <c r="K589" s="2">
        <v>4</v>
      </c>
      <c r="L589" s="2" t="s">
        <v>1968</v>
      </c>
    </row>
    <row r="590" spans="1:13" ht="15" customHeight="1" x14ac:dyDescent="0.25">
      <c r="A590" s="2">
        <v>1641402</v>
      </c>
      <c r="B590" s="2" t="s">
        <v>1688</v>
      </c>
      <c r="C590" s="2" t="s">
        <v>220</v>
      </c>
      <c r="D590" s="2" t="s">
        <v>558</v>
      </c>
      <c r="E590" s="2" t="s">
        <v>1966</v>
      </c>
      <c r="F590" s="2" t="s">
        <v>297</v>
      </c>
      <c r="H590" s="2">
        <v>2</v>
      </c>
      <c r="L590" s="2" t="s">
        <v>1969</v>
      </c>
    </row>
    <row r="591" spans="1:13" ht="15" customHeight="1" x14ac:dyDescent="0.25">
      <c r="A591" s="2">
        <v>1641401</v>
      </c>
      <c r="B591" s="2" t="s">
        <v>1688</v>
      </c>
      <c r="C591" s="2" t="s">
        <v>220</v>
      </c>
      <c r="D591" s="2" t="s">
        <v>558</v>
      </c>
      <c r="E591" s="2" t="s">
        <v>1970</v>
      </c>
      <c r="F591" s="2" t="s">
        <v>295</v>
      </c>
      <c r="H591" s="2">
        <v>2</v>
      </c>
      <c r="I591" s="2">
        <v>2</v>
      </c>
      <c r="J591" s="2">
        <v>2</v>
      </c>
      <c r="L591" s="2" t="s">
        <v>1971</v>
      </c>
      <c r="M591" s="2" t="s">
        <v>1972</v>
      </c>
    </row>
    <row r="592" spans="1:13" ht="15" customHeight="1" x14ac:dyDescent="0.25">
      <c r="A592" s="2">
        <v>1641403</v>
      </c>
      <c r="B592" s="2" t="s">
        <v>1688</v>
      </c>
      <c r="C592" s="2" t="s">
        <v>220</v>
      </c>
      <c r="D592" s="2" t="s">
        <v>558</v>
      </c>
      <c r="E592" s="2" t="s">
        <v>1973</v>
      </c>
      <c r="F592" s="2" t="s">
        <v>295</v>
      </c>
      <c r="H592" s="2">
        <v>3</v>
      </c>
      <c r="I592" s="2">
        <v>3</v>
      </c>
      <c r="J592" s="2">
        <v>3</v>
      </c>
      <c r="L592" s="2" t="s">
        <v>257</v>
      </c>
      <c r="M592" s="2" t="s">
        <v>263</v>
      </c>
    </row>
    <row r="593" spans="1:14" ht="15" customHeight="1" x14ac:dyDescent="0.25">
      <c r="A593" s="2">
        <v>1651102</v>
      </c>
      <c r="B593" s="2" t="s">
        <v>1688</v>
      </c>
      <c r="C593" s="2" t="s">
        <v>222</v>
      </c>
      <c r="D593" s="2" t="s">
        <v>552</v>
      </c>
      <c r="E593" s="2" t="s">
        <v>1974</v>
      </c>
      <c r="F593" s="2" t="s">
        <v>295</v>
      </c>
      <c r="H593" s="2">
        <v>7</v>
      </c>
      <c r="I593" s="2">
        <v>5</v>
      </c>
      <c r="J593" s="2">
        <v>5</v>
      </c>
      <c r="L593" s="2" t="s">
        <v>1975</v>
      </c>
      <c r="M593" s="2" t="s">
        <v>1976</v>
      </c>
    </row>
    <row r="594" spans="1:14" ht="15" customHeight="1" x14ac:dyDescent="0.25">
      <c r="A594" s="2">
        <v>1651201</v>
      </c>
      <c r="B594" s="2" t="s">
        <v>1688</v>
      </c>
      <c r="C594" s="2" t="s">
        <v>222</v>
      </c>
      <c r="D594" s="2" t="s">
        <v>554</v>
      </c>
      <c r="E594" s="2" t="s">
        <v>1977</v>
      </c>
      <c r="F594" s="2" t="s">
        <v>295</v>
      </c>
      <c r="H594" s="2">
        <v>6</v>
      </c>
      <c r="I594" s="2">
        <v>2</v>
      </c>
      <c r="J594" s="2">
        <v>4</v>
      </c>
      <c r="L594" s="2" t="s">
        <v>259</v>
      </c>
      <c r="M594" s="2" t="s">
        <v>1978</v>
      </c>
    </row>
    <row r="595" spans="1:14" ht="15" customHeight="1" x14ac:dyDescent="0.25">
      <c r="A595" s="2">
        <v>1651301</v>
      </c>
      <c r="B595" s="2" t="s">
        <v>1688</v>
      </c>
      <c r="C595" s="2" t="s">
        <v>222</v>
      </c>
      <c r="D595" s="2" t="s">
        <v>556</v>
      </c>
      <c r="E595" s="2" t="s">
        <v>1979</v>
      </c>
      <c r="F595" s="2" t="s">
        <v>295</v>
      </c>
      <c r="H595" s="2">
        <v>3</v>
      </c>
      <c r="I595" s="2">
        <v>2</v>
      </c>
      <c r="J595" s="2">
        <v>2</v>
      </c>
      <c r="L595" s="2" t="s">
        <v>1980</v>
      </c>
    </row>
    <row r="596" spans="1:14" ht="15" customHeight="1" x14ac:dyDescent="0.25">
      <c r="A596" s="2">
        <v>1651302</v>
      </c>
      <c r="B596" s="2" t="s">
        <v>1688</v>
      </c>
      <c r="C596" s="2" t="s">
        <v>222</v>
      </c>
      <c r="D596" s="2" t="s">
        <v>556</v>
      </c>
      <c r="E596" s="2" t="s">
        <v>1981</v>
      </c>
      <c r="F596" s="2" t="s">
        <v>295</v>
      </c>
      <c r="H596" s="2">
        <v>3</v>
      </c>
      <c r="I596" s="2">
        <v>3</v>
      </c>
      <c r="J596" s="2">
        <v>3</v>
      </c>
      <c r="L596" s="2" t="s">
        <v>263</v>
      </c>
      <c r="M596" s="2" t="s">
        <v>1609</v>
      </c>
    </row>
    <row r="597" spans="1:14" ht="15" customHeight="1" x14ac:dyDescent="0.25">
      <c r="A597" s="2">
        <v>1651303</v>
      </c>
      <c r="B597" s="2" t="s">
        <v>1688</v>
      </c>
      <c r="C597" s="2" t="s">
        <v>222</v>
      </c>
      <c r="D597" s="2" t="s">
        <v>556</v>
      </c>
      <c r="E597" s="2" t="s">
        <v>1982</v>
      </c>
      <c r="F597" s="2" t="s">
        <v>295</v>
      </c>
      <c r="H597" s="2">
        <v>6</v>
      </c>
      <c r="I597" s="2">
        <v>8</v>
      </c>
      <c r="J597" s="2">
        <v>6</v>
      </c>
      <c r="L597" s="2" t="s">
        <v>249</v>
      </c>
      <c r="M597" s="2" t="s">
        <v>1983</v>
      </c>
    </row>
    <row r="598" spans="1:14" ht="15" customHeight="1" x14ac:dyDescent="0.25">
      <c r="A598" s="2">
        <v>1650401</v>
      </c>
      <c r="B598" s="2" t="s">
        <v>1688</v>
      </c>
      <c r="C598" s="2" t="s">
        <v>222</v>
      </c>
      <c r="D598" s="2" t="s">
        <v>558</v>
      </c>
      <c r="E598" s="2" t="s">
        <v>1985</v>
      </c>
      <c r="F598" s="2" t="s">
        <v>398</v>
      </c>
      <c r="H598" s="2">
        <v>0</v>
      </c>
      <c r="K598" s="2">
        <v>2</v>
      </c>
      <c r="L598" s="2" t="s">
        <v>1986</v>
      </c>
    </row>
    <row r="599" spans="1:14" ht="15" customHeight="1" x14ac:dyDescent="0.25">
      <c r="A599" s="2">
        <v>1651401</v>
      </c>
      <c r="B599" s="2" t="s">
        <v>1688</v>
      </c>
      <c r="C599" s="2" t="s">
        <v>222</v>
      </c>
      <c r="D599" s="2" t="s">
        <v>558</v>
      </c>
      <c r="E599" s="2" t="s">
        <v>1984</v>
      </c>
      <c r="F599" s="2" t="s">
        <v>297</v>
      </c>
      <c r="H599" s="2">
        <v>2</v>
      </c>
      <c r="L599" s="2" t="s">
        <v>1253</v>
      </c>
      <c r="M599" s="2" t="s">
        <v>1987</v>
      </c>
    </row>
    <row r="600" spans="1:14" ht="15" customHeight="1" x14ac:dyDescent="0.25">
      <c r="A600" s="2">
        <v>1651402</v>
      </c>
      <c r="B600" s="2" t="s">
        <v>1688</v>
      </c>
      <c r="C600" s="2" t="s">
        <v>222</v>
      </c>
      <c r="D600" s="2" t="s">
        <v>558</v>
      </c>
      <c r="E600" s="2" t="s">
        <v>1988</v>
      </c>
      <c r="F600" s="2" t="s">
        <v>295</v>
      </c>
      <c r="H600" s="2">
        <v>6</v>
      </c>
      <c r="I600" s="2">
        <v>2</v>
      </c>
      <c r="J600" s="2">
        <v>7</v>
      </c>
      <c r="L600" s="2" t="s">
        <v>261</v>
      </c>
      <c r="M600" s="2" t="s">
        <v>1989</v>
      </c>
    </row>
    <row r="601" spans="1:14" ht="15" customHeight="1" x14ac:dyDescent="0.25">
      <c r="A601" s="2">
        <v>1651403</v>
      </c>
      <c r="B601" s="2" t="s">
        <v>1688</v>
      </c>
      <c r="C601" s="2" t="s">
        <v>222</v>
      </c>
      <c r="D601" s="2" t="s">
        <v>558</v>
      </c>
      <c r="E601" s="2" t="s">
        <v>1990</v>
      </c>
      <c r="F601" s="2" t="s">
        <v>295</v>
      </c>
      <c r="H601" s="2">
        <v>2</v>
      </c>
      <c r="I601" s="2">
        <v>3</v>
      </c>
      <c r="J601" s="2">
        <v>1</v>
      </c>
      <c r="L601" s="2" t="s">
        <v>249</v>
      </c>
      <c r="M601" s="2" t="s">
        <v>1991</v>
      </c>
    </row>
    <row r="602" spans="1:14" ht="15" customHeight="1" x14ac:dyDescent="0.25">
      <c r="A602" s="2">
        <v>1661102</v>
      </c>
      <c r="B602" s="2" t="s">
        <v>1688</v>
      </c>
      <c r="C602" s="2" t="s">
        <v>224</v>
      </c>
      <c r="D602" s="2" t="s">
        <v>552</v>
      </c>
      <c r="E602" s="2" t="s">
        <v>1992</v>
      </c>
      <c r="F602" s="2" t="s">
        <v>295</v>
      </c>
      <c r="H602" s="2">
        <v>3</v>
      </c>
      <c r="I602" s="2">
        <v>5</v>
      </c>
      <c r="J602" s="2">
        <v>5</v>
      </c>
      <c r="L602" s="2" t="s">
        <v>257</v>
      </c>
      <c r="M602" s="2" t="s">
        <v>2410</v>
      </c>
      <c r="N602" s="2" t="s">
        <v>1993</v>
      </c>
    </row>
    <row r="603" spans="1:14" ht="15" customHeight="1" x14ac:dyDescent="0.25">
      <c r="A603" s="2">
        <v>1661202</v>
      </c>
      <c r="B603" s="2" t="s">
        <v>1688</v>
      </c>
      <c r="C603" s="2" t="s">
        <v>224</v>
      </c>
      <c r="D603" s="2" t="s">
        <v>554</v>
      </c>
      <c r="E603" s="2" t="s">
        <v>1994</v>
      </c>
      <c r="F603" s="2" t="s">
        <v>295</v>
      </c>
      <c r="H603" s="2">
        <v>1</v>
      </c>
      <c r="I603" s="2">
        <v>0</v>
      </c>
      <c r="J603" s="2">
        <v>4</v>
      </c>
      <c r="L603" s="2" t="s">
        <v>1995</v>
      </c>
      <c r="M603" s="2" t="s">
        <v>1144</v>
      </c>
    </row>
    <row r="604" spans="1:14" ht="15" customHeight="1" x14ac:dyDescent="0.25">
      <c r="A604" s="2">
        <v>1661301</v>
      </c>
      <c r="B604" s="2" t="s">
        <v>1688</v>
      </c>
      <c r="C604" s="2" t="s">
        <v>224</v>
      </c>
      <c r="D604" s="2" t="s">
        <v>556</v>
      </c>
      <c r="E604" s="2" t="s">
        <v>1996</v>
      </c>
      <c r="F604" s="2" t="s">
        <v>299</v>
      </c>
      <c r="H604" s="2">
        <v>4</v>
      </c>
      <c r="L604" s="2" t="s">
        <v>1997</v>
      </c>
      <c r="M604" s="2" t="s">
        <v>1998</v>
      </c>
    </row>
    <row r="605" spans="1:14" ht="15" customHeight="1" x14ac:dyDescent="0.25">
      <c r="A605" s="2">
        <v>1661302</v>
      </c>
      <c r="B605" s="2" t="s">
        <v>1688</v>
      </c>
      <c r="C605" s="2" t="s">
        <v>224</v>
      </c>
      <c r="D605" s="2" t="s">
        <v>556</v>
      </c>
      <c r="E605" s="2" t="s">
        <v>2002</v>
      </c>
      <c r="F605" s="2" t="s">
        <v>295</v>
      </c>
      <c r="H605" s="2">
        <v>4</v>
      </c>
      <c r="I605" s="2">
        <v>4</v>
      </c>
      <c r="J605" s="2">
        <v>5</v>
      </c>
      <c r="L605" s="2" t="s">
        <v>257</v>
      </c>
      <c r="M605" s="2" t="s">
        <v>2003</v>
      </c>
      <c r="N605" s="2" t="s">
        <v>2004</v>
      </c>
    </row>
    <row r="606" spans="1:14" ht="15" customHeight="1" x14ac:dyDescent="0.25">
      <c r="A606" s="2">
        <v>1661402</v>
      </c>
      <c r="B606" s="2" t="s">
        <v>1688</v>
      </c>
      <c r="C606" s="2" t="s">
        <v>224</v>
      </c>
      <c r="D606" s="2" t="s">
        <v>558</v>
      </c>
      <c r="E606" s="2" t="s">
        <v>2005</v>
      </c>
      <c r="F606" s="2" t="s">
        <v>299</v>
      </c>
      <c r="H606" s="2">
        <v>0</v>
      </c>
      <c r="L606" s="2" t="s">
        <v>2006</v>
      </c>
    </row>
    <row r="607" spans="1:14" ht="15" customHeight="1" x14ac:dyDescent="0.25">
      <c r="A607" s="2">
        <v>1661404</v>
      </c>
      <c r="B607" s="2" t="s">
        <v>1688</v>
      </c>
      <c r="C607" s="2" t="s">
        <v>224</v>
      </c>
      <c r="D607" s="2" t="s">
        <v>558</v>
      </c>
      <c r="E607" s="2" t="s">
        <v>2007</v>
      </c>
      <c r="F607" s="2" t="s">
        <v>295</v>
      </c>
      <c r="H607" s="2">
        <v>2</v>
      </c>
      <c r="I607" s="2">
        <v>1</v>
      </c>
      <c r="J607" s="2">
        <v>4</v>
      </c>
      <c r="L607" s="2" t="s">
        <v>2008</v>
      </c>
      <c r="M607" s="2" t="s">
        <v>2415</v>
      </c>
    </row>
    <row r="608" spans="1:14" ht="15" customHeight="1" x14ac:dyDescent="0.25">
      <c r="A608" s="2">
        <v>1661303</v>
      </c>
      <c r="B608" s="2" t="s">
        <v>1688</v>
      </c>
      <c r="C608" s="2" t="s">
        <v>224</v>
      </c>
      <c r="D608" s="2" t="s">
        <v>556</v>
      </c>
      <c r="E608" s="2" t="s">
        <v>1999</v>
      </c>
      <c r="F608" s="2" t="s">
        <v>295</v>
      </c>
      <c r="H608" s="2">
        <v>4</v>
      </c>
      <c r="I608" s="2">
        <v>3</v>
      </c>
      <c r="J608" s="2">
        <v>5</v>
      </c>
      <c r="L608" s="2" t="s">
        <v>2000</v>
      </c>
      <c r="M608" s="2" t="s">
        <v>2001</v>
      </c>
    </row>
    <row r="609" spans="1:14" ht="15" customHeight="1" x14ac:dyDescent="0.25">
      <c r="A609" s="2">
        <v>1661401</v>
      </c>
      <c r="B609" s="2" t="s">
        <v>1688</v>
      </c>
      <c r="C609" s="2" t="s">
        <v>224</v>
      </c>
      <c r="D609" s="2" t="s">
        <v>558</v>
      </c>
      <c r="E609" s="2" t="s">
        <v>2009</v>
      </c>
      <c r="F609" s="2" t="s">
        <v>295</v>
      </c>
      <c r="H609" s="2">
        <v>3</v>
      </c>
      <c r="I609" s="2">
        <v>2</v>
      </c>
      <c r="J609" s="2">
        <v>1</v>
      </c>
      <c r="L609" s="2" t="s">
        <v>251</v>
      </c>
      <c r="M609" s="2" t="s">
        <v>2010</v>
      </c>
    </row>
    <row r="610" spans="1:14" ht="15" customHeight="1" x14ac:dyDescent="0.25">
      <c r="A610" s="2">
        <v>1601402</v>
      </c>
      <c r="B610" s="2" t="s">
        <v>1688</v>
      </c>
      <c r="C610" s="2" t="s">
        <v>225</v>
      </c>
      <c r="D610" s="2" t="s">
        <v>558</v>
      </c>
      <c r="E610" s="2" t="s">
        <v>1855</v>
      </c>
      <c r="F610" s="2" t="s">
        <v>295</v>
      </c>
      <c r="H610" s="2">
        <v>5</v>
      </c>
      <c r="I610" s="2">
        <v>5</v>
      </c>
      <c r="J610" s="2">
        <v>5</v>
      </c>
      <c r="L610" s="2" t="s">
        <v>1856</v>
      </c>
      <c r="M610" s="2" t="s">
        <v>257</v>
      </c>
      <c r="N610" s="2" t="s">
        <v>1731</v>
      </c>
    </row>
    <row r="611" spans="1:14" ht="15" customHeight="1" x14ac:dyDescent="0.25">
      <c r="A611" s="2">
        <v>1671201</v>
      </c>
      <c r="B611" s="2" t="s">
        <v>1688</v>
      </c>
      <c r="C611" s="2" t="s">
        <v>193</v>
      </c>
      <c r="D611" s="2" t="s">
        <v>554</v>
      </c>
      <c r="E611" s="2" t="s">
        <v>2014</v>
      </c>
      <c r="F611" s="2" t="s">
        <v>297</v>
      </c>
      <c r="H611" s="2">
        <v>6</v>
      </c>
      <c r="L611" s="2" t="s">
        <v>2015</v>
      </c>
    </row>
    <row r="612" spans="1:14" ht="15" customHeight="1" x14ac:dyDescent="0.25">
      <c r="A612" s="2">
        <v>1671301</v>
      </c>
      <c r="B612" s="2" t="s">
        <v>1688</v>
      </c>
      <c r="C612" s="2" t="s">
        <v>193</v>
      </c>
      <c r="D612" s="2" t="s">
        <v>556</v>
      </c>
      <c r="E612" s="2" t="s">
        <v>2018</v>
      </c>
      <c r="F612" s="2" t="s">
        <v>297</v>
      </c>
      <c r="H612" s="2">
        <v>3</v>
      </c>
      <c r="L612" s="2" t="s">
        <v>2019</v>
      </c>
    </row>
    <row r="613" spans="1:14" ht="15" customHeight="1" x14ac:dyDescent="0.25">
      <c r="A613" s="2">
        <v>1671302</v>
      </c>
      <c r="B613" s="2" t="s">
        <v>1688</v>
      </c>
      <c r="C613" s="2" t="s">
        <v>193</v>
      </c>
      <c r="D613" s="2" t="s">
        <v>556</v>
      </c>
      <c r="E613" s="2" t="s">
        <v>2020</v>
      </c>
      <c r="F613" s="2" t="s">
        <v>295</v>
      </c>
      <c r="H613" s="2">
        <v>7</v>
      </c>
      <c r="I613" s="2">
        <v>7</v>
      </c>
      <c r="J613" s="2">
        <v>6</v>
      </c>
      <c r="L613" s="2" t="s">
        <v>2021</v>
      </c>
    </row>
    <row r="614" spans="1:14" ht="15" customHeight="1" x14ac:dyDescent="0.25">
      <c r="A614" s="2">
        <v>1671203</v>
      </c>
      <c r="B614" s="2" t="s">
        <v>1688</v>
      </c>
      <c r="C614" s="2" t="s">
        <v>193</v>
      </c>
      <c r="D614" s="2" t="s">
        <v>554</v>
      </c>
      <c r="E614" s="2" t="s">
        <v>2016</v>
      </c>
      <c r="F614" s="2" t="s">
        <v>295</v>
      </c>
      <c r="H614" s="2">
        <v>5</v>
      </c>
      <c r="I614" s="2">
        <v>3</v>
      </c>
      <c r="J614" s="2">
        <v>2</v>
      </c>
      <c r="L614" s="2" t="s">
        <v>2022</v>
      </c>
      <c r="M614" s="2" t="s">
        <v>2017</v>
      </c>
    </row>
    <row r="615" spans="1:14" ht="15" customHeight="1" x14ac:dyDescent="0.25">
      <c r="A615" s="2">
        <v>1671402</v>
      </c>
      <c r="B615" s="2" t="s">
        <v>1688</v>
      </c>
      <c r="C615" s="2" t="s">
        <v>193</v>
      </c>
      <c r="D615" s="2" t="s">
        <v>558</v>
      </c>
      <c r="E615" s="2" t="s">
        <v>2026</v>
      </c>
      <c r="F615" s="2" t="s">
        <v>295</v>
      </c>
      <c r="H615" s="2">
        <v>2</v>
      </c>
      <c r="I615" s="2">
        <v>2</v>
      </c>
      <c r="J615" s="2">
        <v>2</v>
      </c>
      <c r="L615" s="2" t="s">
        <v>2027</v>
      </c>
    </row>
    <row r="616" spans="1:14" ht="15" customHeight="1" x14ac:dyDescent="0.25">
      <c r="A616" s="2">
        <v>1671403</v>
      </c>
      <c r="B616" s="2" t="s">
        <v>1688</v>
      </c>
      <c r="C616" s="2" t="s">
        <v>193</v>
      </c>
      <c r="D616" s="2" t="s">
        <v>558</v>
      </c>
      <c r="E616" s="2" t="s">
        <v>2028</v>
      </c>
      <c r="F616" s="2" t="s">
        <v>295</v>
      </c>
      <c r="H616" s="2">
        <v>3</v>
      </c>
      <c r="I616" s="2">
        <v>2</v>
      </c>
      <c r="J616" s="2">
        <v>1</v>
      </c>
      <c r="L616" s="2" t="s">
        <v>251</v>
      </c>
      <c r="M616" s="2" t="s">
        <v>2029</v>
      </c>
    </row>
    <row r="617" spans="1:14" ht="15" customHeight="1" x14ac:dyDescent="0.25">
      <c r="A617" s="2">
        <v>1671404</v>
      </c>
      <c r="B617" s="2" t="s">
        <v>1688</v>
      </c>
      <c r="C617" s="2" t="s">
        <v>193</v>
      </c>
      <c r="D617" s="2" t="s">
        <v>558</v>
      </c>
      <c r="E617" s="2" t="s">
        <v>2030</v>
      </c>
      <c r="F617" s="2" t="s">
        <v>295</v>
      </c>
      <c r="H617" s="2">
        <v>2</v>
      </c>
      <c r="I617" s="2">
        <v>3</v>
      </c>
      <c r="J617" s="2">
        <v>1</v>
      </c>
    </row>
    <row r="618" spans="1:14" ht="15" customHeight="1" x14ac:dyDescent="0.25">
      <c r="A618" s="2">
        <v>1671303</v>
      </c>
      <c r="B618" s="2" t="s">
        <v>1688</v>
      </c>
      <c r="C618" s="2" t="s">
        <v>193</v>
      </c>
      <c r="D618" s="2" t="s">
        <v>556</v>
      </c>
      <c r="E618" s="2" t="s">
        <v>2023</v>
      </c>
      <c r="F618" s="2" t="s">
        <v>295</v>
      </c>
      <c r="H618" s="2">
        <v>5</v>
      </c>
      <c r="I618" s="2">
        <v>5</v>
      </c>
      <c r="J618" s="2">
        <v>4</v>
      </c>
      <c r="L618" s="2" t="s">
        <v>2024</v>
      </c>
      <c r="M618" s="2" t="s">
        <v>2025</v>
      </c>
    </row>
    <row r="619" spans="1:14" ht="15" customHeight="1" x14ac:dyDescent="0.25">
      <c r="A619" s="2">
        <v>1571202</v>
      </c>
      <c r="B619" s="2" t="s">
        <v>691</v>
      </c>
      <c r="C619" s="2" t="s">
        <v>193</v>
      </c>
      <c r="D619" s="2" t="s">
        <v>554</v>
      </c>
      <c r="E619" s="2" t="s">
        <v>42</v>
      </c>
      <c r="F619" s="2" t="s">
        <v>299</v>
      </c>
      <c r="H619" s="2">
        <v>4</v>
      </c>
      <c r="L619" s="2" t="s">
        <v>1874</v>
      </c>
      <c r="M619" s="2" t="s">
        <v>693</v>
      </c>
      <c r="N619" s="2" t="s">
        <v>694</v>
      </c>
    </row>
    <row r="620" spans="1:14" ht="15" customHeight="1" x14ac:dyDescent="0.25">
      <c r="A620" s="2">
        <v>1560301</v>
      </c>
      <c r="B620" s="2" t="s">
        <v>691</v>
      </c>
      <c r="C620" s="2" t="s">
        <v>224</v>
      </c>
      <c r="D620" s="2" t="s">
        <v>556</v>
      </c>
      <c r="E620" s="2" t="s">
        <v>2037</v>
      </c>
      <c r="F620" s="2" t="s">
        <v>295</v>
      </c>
      <c r="G620" s="2" t="s">
        <v>1906</v>
      </c>
      <c r="H620" s="2">
        <v>3</v>
      </c>
      <c r="I620" s="2">
        <v>2</v>
      </c>
      <c r="J620" s="2">
        <v>2</v>
      </c>
      <c r="L620" s="2" t="s">
        <v>1803</v>
      </c>
    </row>
    <row r="621" spans="1:14" ht="15" customHeight="1" x14ac:dyDescent="0.25">
      <c r="A621" s="2">
        <v>1561301</v>
      </c>
      <c r="B621" s="2" t="s">
        <v>691</v>
      </c>
      <c r="C621" s="2" t="s">
        <v>224</v>
      </c>
      <c r="D621" s="2" t="s">
        <v>556</v>
      </c>
      <c r="E621" s="2" t="s">
        <v>2039</v>
      </c>
      <c r="F621" s="2" t="s">
        <v>297</v>
      </c>
      <c r="H621" s="2">
        <v>4</v>
      </c>
      <c r="L621" s="2" t="s">
        <v>2040</v>
      </c>
    </row>
    <row r="622" spans="1:14" ht="15" customHeight="1" x14ac:dyDescent="0.25">
      <c r="A622" s="2">
        <v>1561401</v>
      </c>
      <c r="B622" s="2" t="s">
        <v>691</v>
      </c>
      <c r="C622" s="2" t="s">
        <v>224</v>
      </c>
      <c r="D622" s="2" t="s">
        <v>558</v>
      </c>
      <c r="E622" s="2" t="s">
        <v>2038</v>
      </c>
      <c r="F622" s="2" t="s">
        <v>295</v>
      </c>
      <c r="H622" s="2">
        <v>4</v>
      </c>
      <c r="I622" s="2">
        <v>5</v>
      </c>
      <c r="J622" s="2">
        <v>4</v>
      </c>
      <c r="L622" s="2" t="s">
        <v>2041</v>
      </c>
      <c r="M622" s="2" t="s">
        <v>1872</v>
      </c>
      <c r="N622" s="2" t="s">
        <v>249</v>
      </c>
    </row>
    <row r="623" spans="1:14" ht="15" customHeight="1" x14ac:dyDescent="0.25">
      <c r="A623" s="2">
        <v>1561403</v>
      </c>
      <c r="B623" s="2" t="s">
        <v>691</v>
      </c>
      <c r="C623" s="2" t="s">
        <v>224</v>
      </c>
      <c r="D623" s="2" t="s">
        <v>558</v>
      </c>
      <c r="E623" s="2" t="s">
        <v>2043</v>
      </c>
      <c r="F623" s="2" t="s">
        <v>295</v>
      </c>
      <c r="H623" s="2">
        <v>2</v>
      </c>
      <c r="I623" s="2">
        <v>1</v>
      </c>
      <c r="J623" s="2">
        <v>1</v>
      </c>
      <c r="L623" s="2" t="s">
        <v>2044</v>
      </c>
      <c r="M623" s="2" t="s">
        <v>2045</v>
      </c>
    </row>
    <row r="624" spans="1:14" ht="15" customHeight="1" x14ac:dyDescent="0.25">
      <c r="A624" s="2">
        <v>1561302</v>
      </c>
      <c r="B624" s="2" t="s">
        <v>691</v>
      </c>
      <c r="C624" s="2" t="s">
        <v>224</v>
      </c>
      <c r="D624" s="2" t="s">
        <v>556</v>
      </c>
      <c r="E624" s="2" t="s">
        <v>2047</v>
      </c>
      <c r="F624" s="2" t="s">
        <v>295</v>
      </c>
      <c r="H624" s="2">
        <v>3</v>
      </c>
      <c r="I624" s="2">
        <v>1</v>
      </c>
      <c r="J624" s="2">
        <v>2</v>
      </c>
      <c r="L624" s="2" t="s">
        <v>2048</v>
      </c>
      <c r="M624" s="2" t="s">
        <v>692</v>
      </c>
    </row>
    <row r="625" spans="1:16" ht="15" customHeight="1" x14ac:dyDescent="0.25">
      <c r="A625" s="2">
        <v>1561101</v>
      </c>
      <c r="B625" s="2" t="s">
        <v>691</v>
      </c>
      <c r="C625" s="2" t="s">
        <v>224</v>
      </c>
      <c r="D625" s="2" t="s">
        <v>552</v>
      </c>
      <c r="E625" s="2" t="s">
        <v>2049</v>
      </c>
      <c r="F625" s="2" t="s">
        <v>295</v>
      </c>
      <c r="H625" s="2">
        <v>5</v>
      </c>
      <c r="I625" s="2">
        <v>3</v>
      </c>
      <c r="J625" s="2">
        <v>3</v>
      </c>
      <c r="L625" s="2" t="s">
        <v>2050</v>
      </c>
      <c r="M625" s="2" t="s">
        <v>2051</v>
      </c>
      <c r="N625" s="2" t="s">
        <v>2052</v>
      </c>
    </row>
    <row r="626" spans="1:16" ht="15" customHeight="1" x14ac:dyDescent="0.25">
      <c r="A626" s="2">
        <v>1561304</v>
      </c>
      <c r="B626" s="2" t="s">
        <v>691</v>
      </c>
      <c r="C626" s="2" t="s">
        <v>224</v>
      </c>
      <c r="D626" s="2" t="s">
        <v>556</v>
      </c>
      <c r="E626" s="2" t="s">
        <v>2053</v>
      </c>
      <c r="F626" s="2" t="s">
        <v>299</v>
      </c>
      <c r="H626" s="2">
        <v>1</v>
      </c>
      <c r="L626" s="2" t="s">
        <v>2054</v>
      </c>
    </row>
    <row r="627" spans="1:16" ht="15" customHeight="1" x14ac:dyDescent="0.25">
      <c r="A627" s="2">
        <v>1561404</v>
      </c>
      <c r="B627" s="2" t="s">
        <v>691</v>
      </c>
      <c r="C627" s="2" t="s">
        <v>224</v>
      </c>
      <c r="D627" s="2" t="s">
        <v>558</v>
      </c>
      <c r="E627" s="2" t="s">
        <v>2042</v>
      </c>
      <c r="F627" s="2" t="s">
        <v>295</v>
      </c>
      <c r="H627" s="2">
        <v>2</v>
      </c>
      <c r="I627" s="2">
        <v>2</v>
      </c>
      <c r="J627" s="2">
        <v>2</v>
      </c>
      <c r="L627" s="2" t="s">
        <v>715</v>
      </c>
      <c r="M627" s="2" t="s">
        <v>2059</v>
      </c>
    </row>
    <row r="628" spans="1:16" ht="15" customHeight="1" x14ac:dyDescent="0.25">
      <c r="A628" s="2">
        <v>1561202</v>
      </c>
      <c r="B628" s="2" t="s">
        <v>691</v>
      </c>
      <c r="C628" s="2" t="s">
        <v>224</v>
      </c>
      <c r="D628" s="2" t="s">
        <v>554</v>
      </c>
      <c r="E628" s="2" t="s">
        <v>2060</v>
      </c>
      <c r="F628" s="2" t="s">
        <v>295</v>
      </c>
      <c r="H628" s="2">
        <v>4</v>
      </c>
      <c r="I628" s="2">
        <v>5</v>
      </c>
      <c r="J628" s="2">
        <v>5</v>
      </c>
      <c r="L628" s="2" t="s">
        <v>2061</v>
      </c>
      <c r="M628" s="2" t="s">
        <v>1015</v>
      </c>
    </row>
    <row r="629" spans="1:16" ht="15" customHeight="1" x14ac:dyDescent="0.25">
      <c r="A629" s="2">
        <v>1561203</v>
      </c>
      <c r="B629" s="2" t="s">
        <v>691</v>
      </c>
      <c r="C629" s="2" t="s">
        <v>224</v>
      </c>
      <c r="D629" s="2" t="s">
        <v>554</v>
      </c>
      <c r="E629" s="2" t="s">
        <v>2062</v>
      </c>
      <c r="F629" s="2" t="s">
        <v>299</v>
      </c>
      <c r="H629" s="2">
        <v>6</v>
      </c>
      <c r="L629" s="2" t="s">
        <v>2063</v>
      </c>
    </row>
    <row r="630" spans="1:16" ht="15" customHeight="1" x14ac:dyDescent="0.25">
      <c r="A630" s="2">
        <v>1561204</v>
      </c>
      <c r="B630" s="2" t="s">
        <v>691</v>
      </c>
      <c r="C630" s="2" t="s">
        <v>224</v>
      </c>
      <c r="D630" s="2" t="s">
        <v>554</v>
      </c>
      <c r="E630" s="2" t="s">
        <v>2064</v>
      </c>
      <c r="F630" s="2" t="s">
        <v>299</v>
      </c>
      <c r="H630" s="2">
        <v>2</v>
      </c>
      <c r="K630" s="2">
        <v>2</v>
      </c>
      <c r="L630" s="2" t="s">
        <v>769</v>
      </c>
      <c r="M630" s="2" t="s">
        <v>2065</v>
      </c>
    </row>
    <row r="631" spans="1:16" ht="15" customHeight="1" x14ac:dyDescent="0.25">
      <c r="A631" s="2">
        <v>1561402</v>
      </c>
      <c r="B631" s="2" t="s">
        <v>691</v>
      </c>
      <c r="C631" s="2" t="s">
        <v>224</v>
      </c>
      <c r="D631" s="2" t="s">
        <v>558</v>
      </c>
      <c r="E631" s="2" t="s">
        <v>2066</v>
      </c>
      <c r="F631" s="2" t="s">
        <v>299</v>
      </c>
      <c r="H631" s="2">
        <v>1</v>
      </c>
      <c r="K631" s="2">
        <v>3</v>
      </c>
      <c r="L631" s="2" t="s">
        <v>769</v>
      </c>
      <c r="M631" s="2" t="s">
        <v>890</v>
      </c>
    </row>
    <row r="632" spans="1:16" ht="15" customHeight="1" x14ac:dyDescent="0.25">
      <c r="A632" s="2">
        <v>1511202</v>
      </c>
      <c r="B632" s="2" t="s">
        <v>691</v>
      </c>
      <c r="C632" s="2" t="s">
        <v>216</v>
      </c>
      <c r="D632" s="2" t="s">
        <v>554</v>
      </c>
      <c r="E632" s="2" t="s">
        <v>1750</v>
      </c>
      <c r="F632" s="2" t="s">
        <v>295</v>
      </c>
      <c r="H632" s="2">
        <v>3</v>
      </c>
      <c r="I632" s="2">
        <v>2</v>
      </c>
      <c r="J632" s="2">
        <v>1</v>
      </c>
      <c r="L632" s="2" t="s">
        <v>249</v>
      </c>
      <c r="M632" s="2" t="s">
        <v>2075</v>
      </c>
    </row>
    <row r="633" spans="1:16" ht="15" customHeight="1" x14ac:dyDescent="0.25">
      <c r="A633" s="2">
        <v>1511406</v>
      </c>
      <c r="B633" s="2" t="s">
        <v>691</v>
      </c>
      <c r="C633" s="2" t="s">
        <v>216</v>
      </c>
      <c r="D633" s="2" t="s">
        <v>558</v>
      </c>
      <c r="E633" s="2" t="s">
        <v>1753</v>
      </c>
      <c r="F633" s="2" t="s">
        <v>297</v>
      </c>
      <c r="H633" s="2">
        <v>4</v>
      </c>
      <c r="L633" s="2" t="s">
        <v>2078</v>
      </c>
    </row>
    <row r="634" spans="1:16" ht="15" customHeight="1" x14ac:dyDescent="0.25">
      <c r="A634" s="2">
        <v>1561205</v>
      </c>
      <c r="B634" s="2" t="s">
        <v>691</v>
      </c>
      <c r="C634" s="2" t="s">
        <v>224</v>
      </c>
      <c r="D634" s="2" t="s">
        <v>554</v>
      </c>
      <c r="E634" s="2" t="s">
        <v>2087</v>
      </c>
      <c r="F634" s="2" t="s">
        <v>295</v>
      </c>
      <c r="H634" s="2">
        <v>9</v>
      </c>
      <c r="I634" s="2">
        <v>6</v>
      </c>
      <c r="J634" s="2">
        <v>6</v>
      </c>
      <c r="L634" s="2" t="s">
        <v>2055</v>
      </c>
      <c r="M634" s="2" t="s">
        <v>257</v>
      </c>
    </row>
    <row r="635" spans="1:16" ht="15" customHeight="1" x14ac:dyDescent="0.25">
      <c r="A635" s="2">
        <v>1560101</v>
      </c>
      <c r="B635" s="2" t="s">
        <v>691</v>
      </c>
      <c r="C635" s="2" t="s">
        <v>224</v>
      </c>
      <c r="D635" s="2" t="s">
        <v>552</v>
      </c>
      <c r="E635" s="2" t="s">
        <v>2046</v>
      </c>
      <c r="F635" s="2" t="s">
        <v>398</v>
      </c>
      <c r="H635" s="2">
        <v>0</v>
      </c>
      <c r="L635" s="2" t="s">
        <v>2092</v>
      </c>
    </row>
    <row r="636" spans="1:16" ht="15" customHeight="1" x14ac:dyDescent="0.25">
      <c r="A636" s="2">
        <v>1561102</v>
      </c>
      <c r="B636" s="2" t="s">
        <v>691</v>
      </c>
      <c r="C636" s="2" t="s">
        <v>224</v>
      </c>
      <c r="D636" s="2" t="s">
        <v>552</v>
      </c>
      <c r="E636" s="2" t="s">
        <v>2088</v>
      </c>
      <c r="F636" s="2" t="s">
        <v>295</v>
      </c>
      <c r="H636" s="2">
        <v>8</v>
      </c>
      <c r="I636" s="2">
        <v>4</v>
      </c>
      <c r="J636" s="2">
        <v>4</v>
      </c>
      <c r="L636" s="2" t="s">
        <v>2089</v>
      </c>
      <c r="M636" s="2" t="s">
        <v>2093</v>
      </c>
    </row>
    <row r="637" spans="1:16" ht="15" customHeight="1" x14ac:dyDescent="0.25">
      <c r="A637" s="2">
        <v>1641103</v>
      </c>
      <c r="B637" s="2" t="s">
        <v>1688</v>
      </c>
      <c r="C637" s="2" t="s">
        <v>220</v>
      </c>
      <c r="D637" s="2" t="s">
        <v>552</v>
      </c>
      <c r="E637" s="2" t="s">
        <v>1954</v>
      </c>
      <c r="F637" s="2" t="s">
        <v>295</v>
      </c>
      <c r="H637" s="2">
        <v>5</v>
      </c>
      <c r="I637" s="2">
        <v>5</v>
      </c>
      <c r="J637" s="2">
        <v>5</v>
      </c>
      <c r="L637" s="2" t="s">
        <v>1955</v>
      </c>
      <c r="M637" s="2" t="s">
        <v>1956</v>
      </c>
      <c r="N637" s="2" t="s">
        <v>2095</v>
      </c>
      <c r="O637" s="2" t="s">
        <v>1957</v>
      </c>
    </row>
    <row r="638" spans="1:16" ht="15" customHeight="1" x14ac:dyDescent="0.25">
      <c r="A638" s="2">
        <v>1670101</v>
      </c>
      <c r="B638" s="2" t="s">
        <v>1688</v>
      </c>
      <c r="C638" s="2" t="s">
        <v>193</v>
      </c>
      <c r="D638" s="2" t="s">
        <v>552</v>
      </c>
      <c r="E638" s="2" t="s">
        <v>2013</v>
      </c>
      <c r="F638" s="2" t="s">
        <v>398</v>
      </c>
      <c r="H638" s="2">
        <v>0</v>
      </c>
      <c r="K638" s="2">
        <v>2</v>
      </c>
      <c r="L638" s="2" t="s">
        <v>2101</v>
      </c>
    </row>
    <row r="639" spans="1:16" ht="15" customHeight="1" x14ac:dyDescent="0.25">
      <c r="A639" s="2">
        <v>1671103</v>
      </c>
      <c r="B639" s="2" t="s">
        <v>1688</v>
      </c>
      <c r="C639" s="2" t="s">
        <v>193</v>
      </c>
      <c r="D639" s="2" t="s">
        <v>552</v>
      </c>
      <c r="E639" s="2" t="s">
        <v>2011</v>
      </c>
      <c r="F639" s="2" t="s">
        <v>295</v>
      </c>
      <c r="H639" s="2">
        <v>5</v>
      </c>
      <c r="I639" s="2">
        <v>6</v>
      </c>
      <c r="J639" s="2">
        <v>6</v>
      </c>
      <c r="L639" s="2" t="s">
        <v>2012</v>
      </c>
      <c r="M639" s="2" t="s">
        <v>2100</v>
      </c>
    </row>
    <row r="640" spans="1:16" ht="15" customHeight="1" x14ac:dyDescent="0.25">
      <c r="A640" s="2">
        <v>1521202</v>
      </c>
      <c r="B640" s="2" t="s">
        <v>691</v>
      </c>
      <c r="C640" s="2" t="s">
        <v>218</v>
      </c>
      <c r="D640" s="2" t="s">
        <v>554</v>
      </c>
      <c r="E640" s="2" t="s">
        <v>2102</v>
      </c>
      <c r="F640" s="2" t="s">
        <v>295</v>
      </c>
      <c r="H640" s="2">
        <v>5</v>
      </c>
      <c r="I640" s="2">
        <v>3</v>
      </c>
      <c r="J640" s="2">
        <v>3</v>
      </c>
      <c r="L640" s="2" t="s">
        <v>1119</v>
      </c>
      <c r="M640" s="2" t="s">
        <v>2103</v>
      </c>
      <c r="N640" s="2" t="s">
        <v>2104</v>
      </c>
      <c r="O640" s="2" t="s">
        <v>2105</v>
      </c>
      <c r="P640" s="2" t="s">
        <v>233</v>
      </c>
    </row>
    <row r="641" spans="1:14" ht="15" customHeight="1" x14ac:dyDescent="0.25">
      <c r="A641" s="2">
        <v>1520301</v>
      </c>
      <c r="B641" s="2" t="s">
        <v>691</v>
      </c>
      <c r="C641" s="2" t="s">
        <v>218</v>
      </c>
      <c r="D641" s="2" t="s">
        <v>556</v>
      </c>
      <c r="E641" s="2" t="s">
        <v>2109</v>
      </c>
      <c r="F641" s="2" t="s">
        <v>398</v>
      </c>
      <c r="H641" s="2">
        <v>0</v>
      </c>
      <c r="K641" s="2">
        <v>1</v>
      </c>
      <c r="L641" s="2" t="s">
        <v>2110</v>
      </c>
    </row>
    <row r="642" spans="1:14" ht="15" customHeight="1" x14ac:dyDescent="0.25">
      <c r="A642" s="2">
        <v>1521303</v>
      </c>
      <c r="B642" s="2" t="s">
        <v>691</v>
      </c>
      <c r="C642" s="2" t="s">
        <v>218</v>
      </c>
      <c r="D642" s="2" t="s">
        <v>556</v>
      </c>
      <c r="E642" s="2" t="s">
        <v>2108</v>
      </c>
      <c r="F642" s="2" t="s">
        <v>297</v>
      </c>
      <c r="H642" s="2">
        <v>1</v>
      </c>
      <c r="L642" s="2" t="s">
        <v>2111</v>
      </c>
      <c r="M642" s="2" t="s">
        <v>2112</v>
      </c>
    </row>
    <row r="643" spans="1:14" ht="15" customHeight="1" x14ac:dyDescent="0.25">
      <c r="A643" s="2">
        <v>1521402</v>
      </c>
      <c r="B643" s="2" t="s">
        <v>691</v>
      </c>
      <c r="C643" s="2" t="s">
        <v>218</v>
      </c>
      <c r="D643" s="2" t="s">
        <v>558</v>
      </c>
      <c r="E643" s="2" t="s">
        <v>2114</v>
      </c>
      <c r="F643" s="2" t="s">
        <v>299</v>
      </c>
      <c r="H643" s="2">
        <v>4</v>
      </c>
      <c r="L643" s="2" t="s">
        <v>2115</v>
      </c>
      <c r="M643" s="2" t="s">
        <v>693</v>
      </c>
      <c r="N643" s="2" t="s">
        <v>2116</v>
      </c>
    </row>
    <row r="644" spans="1:14" ht="15" customHeight="1" x14ac:dyDescent="0.25">
      <c r="A644" s="2">
        <v>1520101</v>
      </c>
      <c r="B644" s="2" t="s">
        <v>691</v>
      </c>
      <c r="C644" s="2" t="s">
        <v>218</v>
      </c>
      <c r="D644" s="2" t="s">
        <v>552</v>
      </c>
      <c r="E644" s="2" t="s">
        <v>2118</v>
      </c>
      <c r="F644" s="2" t="s">
        <v>398</v>
      </c>
      <c r="H644" s="2">
        <v>0</v>
      </c>
      <c r="K644" s="2">
        <v>3</v>
      </c>
      <c r="L644" s="2" t="s">
        <v>2119</v>
      </c>
      <c r="M644" s="2" t="s">
        <v>2769</v>
      </c>
      <c r="N644" s="2" t="s">
        <v>2120</v>
      </c>
    </row>
    <row r="645" spans="1:14" ht="15" customHeight="1" x14ac:dyDescent="0.25">
      <c r="A645" s="2">
        <v>1521401</v>
      </c>
      <c r="B645" s="2" t="s">
        <v>691</v>
      </c>
      <c r="C645" s="2" t="s">
        <v>218</v>
      </c>
      <c r="D645" s="2" t="s">
        <v>558</v>
      </c>
      <c r="E645" s="2" t="s">
        <v>2122</v>
      </c>
      <c r="F645" s="2" t="s">
        <v>295</v>
      </c>
      <c r="H645" s="2">
        <v>2</v>
      </c>
      <c r="I645" s="2">
        <v>2</v>
      </c>
      <c r="J645" s="2">
        <v>1</v>
      </c>
      <c r="L645" s="2" t="s">
        <v>873</v>
      </c>
      <c r="M645" s="2" t="s">
        <v>2123</v>
      </c>
    </row>
    <row r="646" spans="1:14" ht="15" customHeight="1" x14ac:dyDescent="0.25">
      <c r="A646" s="2">
        <v>1521305</v>
      </c>
      <c r="B646" s="2" t="s">
        <v>691</v>
      </c>
      <c r="C646" s="2" t="s">
        <v>218</v>
      </c>
      <c r="D646" s="2" t="s">
        <v>556</v>
      </c>
      <c r="E646" s="2" t="s">
        <v>2129</v>
      </c>
      <c r="F646" s="2" t="s">
        <v>297</v>
      </c>
      <c r="H646" s="2">
        <v>3</v>
      </c>
      <c r="L646" s="2" t="s">
        <v>2132</v>
      </c>
    </row>
    <row r="647" spans="1:14" ht="15" customHeight="1" x14ac:dyDescent="0.25">
      <c r="A647" s="2">
        <v>1521405</v>
      </c>
      <c r="B647" s="2" t="s">
        <v>691</v>
      </c>
      <c r="C647" s="2" t="s">
        <v>218</v>
      </c>
      <c r="D647" s="2" t="s">
        <v>558</v>
      </c>
      <c r="E647" s="2" t="s">
        <v>2136</v>
      </c>
      <c r="F647" s="2" t="s">
        <v>295</v>
      </c>
      <c r="H647" s="2">
        <v>2</v>
      </c>
      <c r="I647" s="2">
        <v>3</v>
      </c>
      <c r="J647" s="2">
        <v>1</v>
      </c>
      <c r="L647" s="2" t="s">
        <v>2138</v>
      </c>
      <c r="M647" s="2" t="s">
        <v>2137</v>
      </c>
      <c r="N647" s="2" t="s">
        <v>249</v>
      </c>
    </row>
    <row r="648" spans="1:14" ht="15" customHeight="1" x14ac:dyDescent="0.25">
      <c r="A648" s="2">
        <v>1520401</v>
      </c>
      <c r="B648" s="2" t="s">
        <v>691</v>
      </c>
      <c r="C648" s="2" t="s">
        <v>218</v>
      </c>
      <c r="D648" s="2" t="s">
        <v>558</v>
      </c>
      <c r="E648" s="2" t="s">
        <v>2140</v>
      </c>
      <c r="F648" s="2" t="s">
        <v>295</v>
      </c>
      <c r="G648" s="2" t="s">
        <v>667</v>
      </c>
      <c r="H648" s="2">
        <v>2</v>
      </c>
      <c r="I648" s="2">
        <v>2</v>
      </c>
      <c r="J648" s="2">
        <v>2</v>
      </c>
      <c r="L648" s="2" t="s">
        <v>249</v>
      </c>
    </row>
    <row r="649" spans="1:14" ht="15" customHeight="1" x14ac:dyDescent="0.25">
      <c r="A649" s="2">
        <v>1571205</v>
      </c>
      <c r="B649" s="2" t="s">
        <v>691</v>
      </c>
      <c r="C649" s="2" t="s">
        <v>193</v>
      </c>
      <c r="D649" s="2" t="s">
        <v>554</v>
      </c>
      <c r="E649" s="2" t="s">
        <v>44</v>
      </c>
      <c r="F649" s="2" t="s">
        <v>299</v>
      </c>
      <c r="H649" s="2">
        <v>2</v>
      </c>
      <c r="L649" s="2" t="s">
        <v>1870</v>
      </c>
    </row>
    <row r="650" spans="1:14" ht="15" customHeight="1" x14ac:dyDescent="0.25">
      <c r="A650" s="2">
        <v>1570401</v>
      </c>
      <c r="B650" s="2" t="s">
        <v>691</v>
      </c>
      <c r="C650" s="2" t="s">
        <v>193</v>
      </c>
      <c r="D650" s="2" t="s">
        <v>558</v>
      </c>
      <c r="E650" s="2" t="s">
        <v>2152</v>
      </c>
      <c r="F650" s="2" t="s">
        <v>295</v>
      </c>
      <c r="H650" s="2">
        <v>1</v>
      </c>
      <c r="I650" s="2">
        <v>1</v>
      </c>
      <c r="J650" s="2">
        <v>1</v>
      </c>
    </row>
    <row r="651" spans="1:14" ht="15" customHeight="1" x14ac:dyDescent="0.25">
      <c r="A651" s="2">
        <v>1570407</v>
      </c>
      <c r="B651" s="2" t="s">
        <v>691</v>
      </c>
      <c r="C651" s="2" t="s">
        <v>193</v>
      </c>
      <c r="D651" s="2" t="s">
        <v>558</v>
      </c>
      <c r="E651" s="2" t="s">
        <v>2153</v>
      </c>
      <c r="F651" s="2" t="s">
        <v>295</v>
      </c>
      <c r="H651" s="2">
        <v>1</v>
      </c>
      <c r="I651" s="2">
        <v>1</v>
      </c>
      <c r="J651" s="2">
        <v>1</v>
      </c>
    </row>
    <row r="652" spans="1:14" ht="15" customHeight="1" x14ac:dyDescent="0.25">
      <c r="A652" s="2">
        <v>1571306</v>
      </c>
      <c r="B652" s="2" t="s">
        <v>691</v>
      </c>
      <c r="C652" s="2" t="s">
        <v>193</v>
      </c>
      <c r="D652" s="2" t="s">
        <v>556</v>
      </c>
      <c r="E652" s="2" t="s">
        <v>31</v>
      </c>
      <c r="F652" s="2" t="s">
        <v>295</v>
      </c>
      <c r="H652" s="2">
        <v>5</v>
      </c>
      <c r="I652" s="2">
        <v>4</v>
      </c>
      <c r="J652" s="2">
        <v>3</v>
      </c>
      <c r="L652" s="2" t="s">
        <v>2154</v>
      </c>
      <c r="M652" s="2" t="s">
        <v>692</v>
      </c>
    </row>
    <row r="653" spans="1:14" ht="15" customHeight="1" x14ac:dyDescent="0.25">
      <c r="A653" s="2">
        <v>1571405</v>
      </c>
      <c r="B653" s="2" t="s">
        <v>691</v>
      </c>
      <c r="C653" s="2" t="s">
        <v>193</v>
      </c>
      <c r="D653" s="2" t="s">
        <v>558</v>
      </c>
      <c r="E653" s="2" t="s">
        <v>18</v>
      </c>
      <c r="F653" s="2" t="s">
        <v>295</v>
      </c>
      <c r="H653" s="2">
        <v>2</v>
      </c>
      <c r="I653" s="2">
        <v>1</v>
      </c>
      <c r="J653" s="2">
        <v>1</v>
      </c>
      <c r="L653" s="2" t="s">
        <v>2155</v>
      </c>
      <c r="M653" s="2" t="s">
        <v>2156</v>
      </c>
    </row>
    <row r="654" spans="1:14" ht="15" customHeight="1" x14ac:dyDescent="0.25">
      <c r="A654" s="2">
        <v>1571404</v>
      </c>
      <c r="B654" s="2" t="s">
        <v>691</v>
      </c>
      <c r="C654" s="2" t="s">
        <v>193</v>
      </c>
      <c r="D654" s="2" t="s">
        <v>558</v>
      </c>
      <c r="E654" s="2" t="s">
        <v>21</v>
      </c>
      <c r="F654" s="2" t="s">
        <v>295</v>
      </c>
      <c r="H654" s="2">
        <v>3</v>
      </c>
      <c r="I654" s="2">
        <v>2</v>
      </c>
      <c r="J654" s="2">
        <v>2</v>
      </c>
      <c r="L654" s="2" t="s">
        <v>1877</v>
      </c>
      <c r="M654" s="2" t="s">
        <v>1878</v>
      </c>
    </row>
    <row r="655" spans="1:14" ht="15" customHeight="1" x14ac:dyDescent="0.25">
      <c r="A655" s="2">
        <v>1571303</v>
      </c>
      <c r="B655" s="2" t="s">
        <v>691</v>
      </c>
      <c r="C655" s="2" t="s">
        <v>193</v>
      </c>
      <c r="D655" s="2" t="s">
        <v>556</v>
      </c>
      <c r="E655" s="2" t="s">
        <v>16</v>
      </c>
      <c r="F655" s="2" t="s">
        <v>295</v>
      </c>
      <c r="H655" s="2">
        <v>4</v>
      </c>
      <c r="I655" s="2">
        <v>2</v>
      </c>
      <c r="J655" s="2">
        <v>2</v>
      </c>
      <c r="L655" s="2" t="s">
        <v>255</v>
      </c>
      <c r="M655" s="2" t="s">
        <v>249</v>
      </c>
      <c r="N655" s="2" t="s">
        <v>1876</v>
      </c>
    </row>
    <row r="656" spans="1:14" ht="15" customHeight="1" x14ac:dyDescent="0.25">
      <c r="A656" s="2">
        <v>1511204</v>
      </c>
      <c r="B656" s="2" t="s">
        <v>691</v>
      </c>
      <c r="C656" s="2" t="s">
        <v>216</v>
      </c>
      <c r="D656" s="2" t="s">
        <v>554</v>
      </c>
      <c r="E656" s="2" t="s">
        <v>1759</v>
      </c>
      <c r="F656" s="2" t="s">
        <v>295</v>
      </c>
      <c r="H656" s="2">
        <v>1</v>
      </c>
      <c r="I656" s="2">
        <v>1</v>
      </c>
      <c r="J656" s="2">
        <v>1</v>
      </c>
      <c r="L656" s="2" t="s">
        <v>2164</v>
      </c>
      <c r="M656" s="2" t="s">
        <v>1760</v>
      </c>
      <c r="N656" s="2" t="s">
        <v>1761</v>
      </c>
    </row>
    <row r="657" spans="1:16" ht="15" customHeight="1" x14ac:dyDescent="0.25">
      <c r="A657" s="2">
        <v>1511405</v>
      </c>
      <c r="B657" s="2" t="s">
        <v>691</v>
      </c>
      <c r="C657" s="2" t="s">
        <v>216</v>
      </c>
      <c r="D657" s="2" t="s">
        <v>558</v>
      </c>
      <c r="E657" s="2" t="s">
        <v>2166</v>
      </c>
      <c r="F657" s="2" t="s">
        <v>295</v>
      </c>
      <c r="H657" s="2">
        <v>2</v>
      </c>
      <c r="I657" s="2">
        <v>1</v>
      </c>
      <c r="J657" s="2">
        <v>2</v>
      </c>
      <c r="L657" s="2" t="s">
        <v>2167</v>
      </c>
      <c r="M657" s="2" t="s">
        <v>1090</v>
      </c>
    </row>
    <row r="658" spans="1:16" ht="15" customHeight="1" x14ac:dyDescent="0.25">
      <c r="A658" s="2">
        <v>1510102</v>
      </c>
      <c r="B658" s="2" t="s">
        <v>691</v>
      </c>
      <c r="C658" s="2" t="s">
        <v>216</v>
      </c>
      <c r="D658" s="2" t="s">
        <v>552</v>
      </c>
      <c r="E658" s="2" t="s">
        <v>1776</v>
      </c>
      <c r="F658" s="2" t="s">
        <v>295</v>
      </c>
      <c r="H658" s="2">
        <v>2</v>
      </c>
      <c r="I658" s="2">
        <v>2</v>
      </c>
      <c r="J658" s="2">
        <v>2</v>
      </c>
      <c r="L658" s="2" t="s">
        <v>2168</v>
      </c>
      <c r="M658" s="2" t="s">
        <v>2357</v>
      </c>
      <c r="N658" s="2" t="s">
        <v>2169</v>
      </c>
    </row>
    <row r="659" spans="1:16" ht="15" customHeight="1" x14ac:dyDescent="0.25">
      <c r="A659" s="2">
        <v>1811401</v>
      </c>
      <c r="C659" s="2" t="s">
        <v>216</v>
      </c>
      <c r="D659" s="2" t="s">
        <v>558</v>
      </c>
      <c r="E659" s="2" t="s">
        <v>1751</v>
      </c>
      <c r="F659" s="2" t="s">
        <v>295</v>
      </c>
      <c r="H659" s="2">
        <v>2</v>
      </c>
      <c r="I659" s="2">
        <v>2</v>
      </c>
      <c r="J659" s="2">
        <v>2</v>
      </c>
      <c r="L659" s="2" t="s">
        <v>1752</v>
      </c>
    </row>
    <row r="660" spans="1:16" ht="15" customHeight="1" x14ac:dyDescent="0.25">
      <c r="A660" s="2">
        <v>1421405</v>
      </c>
      <c r="B660" s="2" t="s">
        <v>1574</v>
      </c>
      <c r="C660" s="2" t="s">
        <v>218</v>
      </c>
      <c r="D660" s="2" t="s">
        <v>558</v>
      </c>
      <c r="E660" s="2" t="s">
        <v>1605</v>
      </c>
      <c r="F660" s="2" t="s">
        <v>297</v>
      </c>
      <c r="H660" s="2">
        <v>3</v>
      </c>
      <c r="L660" s="2" t="s">
        <v>2173</v>
      </c>
    </row>
    <row r="661" spans="1:16" ht="15" customHeight="1" x14ac:dyDescent="0.25">
      <c r="A661" s="2">
        <v>1571305</v>
      </c>
      <c r="B661" s="2" t="s">
        <v>691</v>
      </c>
      <c r="C661" s="2" t="s">
        <v>193</v>
      </c>
      <c r="D661" s="2" t="s">
        <v>556</v>
      </c>
      <c r="E661" s="2" t="s">
        <v>45</v>
      </c>
      <c r="F661" s="2" t="s">
        <v>297</v>
      </c>
      <c r="H661" s="2">
        <v>1</v>
      </c>
      <c r="L661" s="2" t="s">
        <v>2344</v>
      </c>
    </row>
    <row r="662" spans="1:16" ht="15" customHeight="1" x14ac:dyDescent="0.25">
      <c r="A662" s="2">
        <v>1571203</v>
      </c>
      <c r="B662" s="2" t="s">
        <v>691</v>
      </c>
      <c r="C662" s="2" t="s">
        <v>193</v>
      </c>
      <c r="D662" s="2" t="s">
        <v>554</v>
      </c>
      <c r="E662" s="2" t="s">
        <v>38</v>
      </c>
      <c r="F662" s="2" t="s">
        <v>295</v>
      </c>
      <c r="H662" s="2">
        <v>5</v>
      </c>
      <c r="I662" s="2">
        <v>2</v>
      </c>
      <c r="J662" s="2">
        <v>2</v>
      </c>
      <c r="L662" s="2" t="s">
        <v>2338</v>
      </c>
      <c r="M662" s="2" t="s">
        <v>2185</v>
      </c>
      <c r="N662" s="2" t="s">
        <v>2034</v>
      </c>
      <c r="P662" s="2" t="s">
        <v>213</v>
      </c>
    </row>
    <row r="663" spans="1:16" ht="15" customHeight="1" x14ac:dyDescent="0.25">
      <c r="A663" s="2">
        <v>1570101</v>
      </c>
      <c r="B663" s="2" t="s">
        <v>691</v>
      </c>
      <c r="C663" s="2" t="s">
        <v>193</v>
      </c>
      <c r="D663" s="2" t="s">
        <v>552</v>
      </c>
      <c r="E663" s="2" t="s">
        <v>1780</v>
      </c>
      <c r="F663" s="2" t="s">
        <v>398</v>
      </c>
      <c r="H663" s="2">
        <v>0</v>
      </c>
      <c r="L663" s="2" t="s">
        <v>2189</v>
      </c>
    </row>
    <row r="664" spans="1:16" ht="15" customHeight="1" x14ac:dyDescent="0.25">
      <c r="A664" s="2">
        <v>1571103</v>
      </c>
      <c r="B664" s="2" t="s">
        <v>691</v>
      </c>
      <c r="C664" s="2" t="s">
        <v>193</v>
      </c>
      <c r="D664" s="2" t="s">
        <v>552</v>
      </c>
      <c r="E664" s="2" t="s">
        <v>32</v>
      </c>
      <c r="F664" s="2" t="s">
        <v>295</v>
      </c>
      <c r="H664" s="2">
        <v>8</v>
      </c>
      <c r="I664" s="2">
        <v>4</v>
      </c>
      <c r="J664" s="2">
        <v>4</v>
      </c>
      <c r="L664" s="2" t="s">
        <v>2157</v>
      </c>
      <c r="M664" s="2" t="s">
        <v>2190</v>
      </c>
      <c r="N664" s="2" t="s">
        <v>2191</v>
      </c>
    </row>
    <row r="665" spans="1:16" ht="15" customHeight="1" x14ac:dyDescent="0.25">
      <c r="A665" s="2">
        <v>1520102</v>
      </c>
      <c r="B665" s="2" t="s">
        <v>691</v>
      </c>
      <c r="C665" s="2" t="s">
        <v>218</v>
      </c>
      <c r="D665" s="2" t="s">
        <v>552</v>
      </c>
      <c r="E665" s="2" t="s">
        <v>2142</v>
      </c>
      <c r="F665" s="2" t="s">
        <v>398</v>
      </c>
      <c r="H665" s="2">
        <v>0</v>
      </c>
      <c r="L665" s="2" t="s">
        <v>2201</v>
      </c>
    </row>
    <row r="666" spans="1:16" ht="15" customHeight="1" x14ac:dyDescent="0.25">
      <c r="A666" s="2">
        <v>1521103</v>
      </c>
      <c r="B666" s="2" t="s">
        <v>691</v>
      </c>
      <c r="C666" s="2" t="s">
        <v>218</v>
      </c>
      <c r="D666" s="2" t="s">
        <v>552</v>
      </c>
      <c r="E666" s="2" t="s">
        <v>2139</v>
      </c>
      <c r="F666" s="2" t="s">
        <v>295</v>
      </c>
      <c r="H666" s="2">
        <v>7</v>
      </c>
      <c r="I666" s="2">
        <v>4</v>
      </c>
      <c r="J666" s="2">
        <v>4</v>
      </c>
      <c r="L666" s="2" t="s">
        <v>2200</v>
      </c>
      <c r="M666" s="2" t="s">
        <v>2141</v>
      </c>
      <c r="N666" s="2" t="s">
        <v>2202</v>
      </c>
    </row>
    <row r="667" spans="1:16" ht="15" customHeight="1" x14ac:dyDescent="0.25">
      <c r="A667" s="2">
        <v>1511205</v>
      </c>
      <c r="B667" s="2" t="s">
        <v>691</v>
      </c>
      <c r="C667" s="2" t="s">
        <v>216</v>
      </c>
      <c r="D667" s="2" t="s">
        <v>554</v>
      </c>
      <c r="E667" s="2" t="s">
        <v>1767</v>
      </c>
      <c r="F667" s="2" t="s">
        <v>299</v>
      </c>
      <c r="H667" s="2">
        <v>1</v>
      </c>
      <c r="K667" s="2">
        <v>9</v>
      </c>
      <c r="L667" s="2" t="s">
        <v>2207</v>
      </c>
      <c r="M667" s="2" t="s">
        <v>2165</v>
      </c>
    </row>
    <row r="668" spans="1:16" ht="15" customHeight="1" x14ac:dyDescent="0.25">
      <c r="A668" s="2">
        <v>1500101</v>
      </c>
      <c r="B668" s="2" t="s">
        <v>691</v>
      </c>
      <c r="C668" s="2" t="s">
        <v>225</v>
      </c>
      <c r="D668" s="2" t="s">
        <v>552</v>
      </c>
      <c r="E668" s="2" t="s">
        <v>1685</v>
      </c>
      <c r="F668" s="2" t="s">
        <v>398</v>
      </c>
      <c r="H668" s="2">
        <v>0</v>
      </c>
      <c r="K668" s="2">
        <v>6</v>
      </c>
      <c r="L668" s="2" t="s">
        <v>1686</v>
      </c>
    </row>
    <row r="669" spans="1:16" ht="15" customHeight="1" x14ac:dyDescent="0.25">
      <c r="A669" s="2">
        <v>1501103</v>
      </c>
      <c r="B669" s="2" t="s">
        <v>691</v>
      </c>
      <c r="C669" s="2" t="s">
        <v>225</v>
      </c>
      <c r="D669" s="2" t="s">
        <v>552</v>
      </c>
      <c r="E669" s="2" t="s">
        <v>172</v>
      </c>
      <c r="F669" s="2" t="s">
        <v>295</v>
      </c>
      <c r="H669" s="2">
        <v>7</v>
      </c>
      <c r="I669" s="2">
        <v>5</v>
      </c>
      <c r="J669" s="2">
        <v>5</v>
      </c>
      <c r="L669" s="2" t="s">
        <v>1687</v>
      </c>
      <c r="M669" s="2" t="s">
        <v>2208</v>
      </c>
    </row>
    <row r="670" spans="1:16" ht="15" customHeight="1" x14ac:dyDescent="0.25">
      <c r="A670" s="2">
        <v>1421301</v>
      </c>
      <c r="B670" s="2" t="s">
        <v>1574</v>
      </c>
      <c r="C670" s="2" t="s">
        <v>218</v>
      </c>
      <c r="D670" s="2" t="s">
        <v>556</v>
      </c>
      <c r="E670" s="2" t="s">
        <v>1608</v>
      </c>
      <c r="F670" s="2" t="s">
        <v>295</v>
      </c>
      <c r="H670" s="2">
        <v>2</v>
      </c>
      <c r="I670" s="2">
        <v>2</v>
      </c>
      <c r="J670" s="2">
        <v>2</v>
      </c>
      <c r="L670" s="2" t="s">
        <v>1609</v>
      </c>
    </row>
    <row r="671" spans="1:16" ht="15" customHeight="1" x14ac:dyDescent="0.25">
      <c r="A671" s="2">
        <v>1550401</v>
      </c>
      <c r="B671" s="2" t="s">
        <v>691</v>
      </c>
      <c r="C671" s="2" t="s">
        <v>222</v>
      </c>
      <c r="D671" s="2" t="s">
        <v>558</v>
      </c>
      <c r="E671" s="2" t="s">
        <v>2211</v>
      </c>
      <c r="F671" s="2" t="s">
        <v>295</v>
      </c>
      <c r="G671" s="2" t="s">
        <v>669</v>
      </c>
      <c r="H671" s="2">
        <v>0</v>
      </c>
      <c r="I671" s="2">
        <v>1</v>
      </c>
      <c r="J671" s="2">
        <v>1</v>
      </c>
    </row>
    <row r="672" spans="1:16" ht="15" customHeight="1" x14ac:dyDescent="0.25">
      <c r="A672" s="2">
        <v>1551401</v>
      </c>
      <c r="B672" s="2" t="s">
        <v>691</v>
      </c>
      <c r="C672" s="2" t="s">
        <v>222</v>
      </c>
      <c r="D672" s="2" t="s">
        <v>558</v>
      </c>
      <c r="E672" s="2" t="s">
        <v>2213</v>
      </c>
      <c r="F672" s="2" t="s">
        <v>295</v>
      </c>
      <c r="H672" s="2">
        <v>3</v>
      </c>
      <c r="I672" s="2">
        <v>2</v>
      </c>
      <c r="J672" s="2">
        <v>1</v>
      </c>
      <c r="L672" s="2" t="s">
        <v>2214</v>
      </c>
    </row>
    <row r="673" spans="1:15" ht="15" customHeight="1" x14ac:dyDescent="0.25">
      <c r="A673" s="2">
        <v>1551202</v>
      </c>
      <c r="B673" s="2" t="s">
        <v>691</v>
      </c>
      <c r="C673" s="2" t="s">
        <v>222</v>
      </c>
      <c r="D673" s="2" t="s">
        <v>554</v>
      </c>
      <c r="E673" s="2" t="s">
        <v>2223</v>
      </c>
      <c r="F673" s="2" t="s">
        <v>295</v>
      </c>
      <c r="H673" s="2">
        <v>8</v>
      </c>
      <c r="I673" s="2">
        <v>8</v>
      </c>
      <c r="J673" s="2">
        <v>8</v>
      </c>
      <c r="L673" s="2" t="s">
        <v>2224</v>
      </c>
      <c r="M673" s="2" t="s">
        <v>249</v>
      </c>
      <c r="N673" s="2" t="s">
        <v>257</v>
      </c>
      <c r="O673" s="2" t="s">
        <v>2225</v>
      </c>
    </row>
    <row r="674" spans="1:15" ht="15" customHeight="1" x14ac:dyDescent="0.25">
      <c r="A674" s="2">
        <v>1551404</v>
      </c>
      <c r="B674" s="2" t="s">
        <v>691</v>
      </c>
      <c r="C674" s="2" t="s">
        <v>222</v>
      </c>
      <c r="D674" s="2" t="s">
        <v>558</v>
      </c>
      <c r="E674" s="2" t="s">
        <v>2227</v>
      </c>
      <c r="F674" s="2" t="s">
        <v>299</v>
      </c>
      <c r="H674" s="2">
        <v>2</v>
      </c>
      <c r="L674" s="2" t="s">
        <v>1288</v>
      </c>
      <c r="M674" s="2" t="s">
        <v>2228</v>
      </c>
    </row>
    <row r="675" spans="1:15" ht="15" customHeight="1" x14ac:dyDescent="0.25">
      <c r="A675" s="2">
        <v>1561303</v>
      </c>
      <c r="B675" s="2" t="s">
        <v>691</v>
      </c>
      <c r="C675" s="2" t="s">
        <v>224</v>
      </c>
      <c r="D675" s="2" t="s">
        <v>556</v>
      </c>
      <c r="E675" s="2" t="s">
        <v>2244</v>
      </c>
      <c r="F675" s="2" t="s">
        <v>297</v>
      </c>
      <c r="H675" s="2">
        <v>1</v>
      </c>
      <c r="L675" s="2" t="s">
        <v>2245</v>
      </c>
      <c r="M675" s="2" t="s">
        <v>2246</v>
      </c>
    </row>
    <row r="676" spans="1:15" ht="15" customHeight="1" x14ac:dyDescent="0.25">
      <c r="A676" s="2">
        <v>1421303</v>
      </c>
      <c r="B676" s="2" t="s">
        <v>1574</v>
      </c>
      <c r="C676" s="2" t="s">
        <v>218</v>
      </c>
      <c r="D676" s="2" t="s">
        <v>556</v>
      </c>
      <c r="E676" s="2" t="s">
        <v>1610</v>
      </c>
      <c r="F676" s="2" t="s">
        <v>295</v>
      </c>
      <c r="H676" s="2">
        <v>4</v>
      </c>
      <c r="I676" s="2">
        <v>5</v>
      </c>
      <c r="J676" s="2">
        <v>4</v>
      </c>
      <c r="L676" s="2" t="s">
        <v>2252</v>
      </c>
      <c r="M676" s="2" t="s">
        <v>2253</v>
      </c>
    </row>
    <row r="677" spans="1:15" ht="15" customHeight="1" x14ac:dyDescent="0.25">
      <c r="A677" s="2">
        <v>1510402</v>
      </c>
      <c r="B677" s="2" t="s">
        <v>691</v>
      </c>
      <c r="C677" s="2" t="s">
        <v>216</v>
      </c>
      <c r="D677" s="2" t="s">
        <v>558</v>
      </c>
      <c r="E677" s="2" t="s">
        <v>2188</v>
      </c>
      <c r="F677" s="2" t="s">
        <v>398</v>
      </c>
      <c r="H677" s="2">
        <v>0</v>
      </c>
      <c r="K677" s="2">
        <v>1</v>
      </c>
      <c r="L677" s="2" t="s">
        <v>1764</v>
      </c>
      <c r="M677" s="2" t="s">
        <v>1893</v>
      </c>
    </row>
    <row r="678" spans="1:15" ht="15" customHeight="1" x14ac:dyDescent="0.25">
      <c r="A678" s="2">
        <v>1511404</v>
      </c>
      <c r="B678" s="2" t="s">
        <v>691</v>
      </c>
      <c r="C678" s="2" t="s">
        <v>216</v>
      </c>
      <c r="D678" s="2" t="s">
        <v>558</v>
      </c>
      <c r="E678" s="2" t="s">
        <v>2079</v>
      </c>
      <c r="F678" s="2" t="s">
        <v>295</v>
      </c>
      <c r="H678" s="2">
        <v>4</v>
      </c>
      <c r="I678" s="2">
        <v>3</v>
      </c>
      <c r="J678" s="2">
        <v>3</v>
      </c>
      <c r="L678" s="2" t="s">
        <v>2255</v>
      </c>
      <c r="M678" s="2" t="s">
        <v>1897</v>
      </c>
    </row>
    <row r="679" spans="1:15" ht="15" customHeight="1" x14ac:dyDescent="0.25">
      <c r="A679" s="2">
        <v>1510302</v>
      </c>
      <c r="B679" s="2" t="s">
        <v>691</v>
      </c>
      <c r="C679" s="2" t="s">
        <v>216</v>
      </c>
      <c r="D679" s="2" t="s">
        <v>556</v>
      </c>
      <c r="E679" s="2" t="s">
        <v>2187</v>
      </c>
      <c r="F679" s="2" t="s">
        <v>398</v>
      </c>
      <c r="H679" s="2">
        <v>0</v>
      </c>
      <c r="K679" s="2">
        <v>1</v>
      </c>
      <c r="L679" s="2" t="s">
        <v>1772</v>
      </c>
      <c r="M679" s="2" t="s">
        <v>1893</v>
      </c>
    </row>
    <row r="680" spans="1:15" ht="15" customHeight="1" x14ac:dyDescent="0.25">
      <c r="A680" s="2">
        <v>1511306</v>
      </c>
      <c r="B680" s="2" t="s">
        <v>691</v>
      </c>
      <c r="C680" s="2" t="s">
        <v>216</v>
      </c>
      <c r="D680" s="2" t="s">
        <v>556</v>
      </c>
      <c r="E680" s="2" t="s">
        <v>2080</v>
      </c>
      <c r="F680" s="2" t="s">
        <v>295</v>
      </c>
      <c r="H680" s="2">
        <v>3</v>
      </c>
      <c r="I680" s="2">
        <v>2</v>
      </c>
      <c r="J680" s="2">
        <v>2</v>
      </c>
      <c r="L680" s="2" t="s">
        <v>2256</v>
      </c>
      <c r="M680" s="2" t="s">
        <v>1895</v>
      </c>
    </row>
    <row r="681" spans="1:15" ht="15" customHeight="1" x14ac:dyDescent="0.25">
      <c r="A681" s="2">
        <v>1510203</v>
      </c>
      <c r="B681" s="2" t="s">
        <v>691</v>
      </c>
      <c r="C681" s="2" t="s">
        <v>216</v>
      </c>
      <c r="D681" s="2" t="s">
        <v>554</v>
      </c>
      <c r="E681" s="2" t="s">
        <v>2186</v>
      </c>
      <c r="F681" s="2" t="s">
        <v>398</v>
      </c>
      <c r="H681" s="2">
        <v>0</v>
      </c>
      <c r="K681" s="2">
        <v>1</v>
      </c>
      <c r="L681" s="2" t="s">
        <v>1434</v>
      </c>
      <c r="M681" s="2" t="s">
        <v>1893</v>
      </c>
    </row>
    <row r="682" spans="1:15" ht="15" customHeight="1" x14ac:dyDescent="0.25">
      <c r="A682" s="2">
        <v>1511203</v>
      </c>
      <c r="B682" s="2" t="s">
        <v>691</v>
      </c>
      <c r="C682" s="2" t="s">
        <v>216</v>
      </c>
      <c r="D682" s="2" t="s">
        <v>554</v>
      </c>
      <c r="E682" s="2" t="s">
        <v>2077</v>
      </c>
      <c r="F682" s="2" t="s">
        <v>295</v>
      </c>
      <c r="H682" s="2">
        <v>2</v>
      </c>
      <c r="I682" s="2">
        <v>1</v>
      </c>
      <c r="J682" s="2">
        <v>1</v>
      </c>
      <c r="L682" s="2" t="s">
        <v>2257</v>
      </c>
      <c r="M682" s="2" t="s">
        <v>1894</v>
      </c>
    </row>
    <row r="683" spans="1:15" ht="15" customHeight="1" x14ac:dyDescent="0.25">
      <c r="A683" s="2">
        <v>1551406</v>
      </c>
      <c r="B683" s="2" t="s">
        <v>691</v>
      </c>
      <c r="C683" s="2" t="s">
        <v>222</v>
      </c>
      <c r="D683" s="2" t="s">
        <v>558</v>
      </c>
      <c r="E683" s="2" t="s">
        <v>2212</v>
      </c>
      <c r="F683" s="2" t="s">
        <v>297</v>
      </c>
      <c r="H683" s="2">
        <v>1</v>
      </c>
      <c r="L683" s="2" t="s">
        <v>2262</v>
      </c>
      <c r="M683" s="2" t="s">
        <v>1516</v>
      </c>
    </row>
    <row r="684" spans="1:15" ht="15" customHeight="1" x14ac:dyDescent="0.25">
      <c r="A684" s="2">
        <v>1551305</v>
      </c>
      <c r="B684" s="2" t="s">
        <v>691</v>
      </c>
      <c r="C684" s="2" t="s">
        <v>222</v>
      </c>
      <c r="D684" s="2" t="s">
        <v>556</v>
      </c>
      <c r="E684" s="2" t="s">
        <v>2264</v>
      </c>
      <c r="F684" s="2" t="s">
        <v>295</v>
      </c>
      <c r="H684" s="2">
        <v>5</v>
      </c>
      <c r="I684" s="2">
        <v>4</v>
      </c>
      <c r="J684" s="2">
        <v>4</v>
      </c>
      <c r="L684" s="2" t="s">
        <v>2265</v>
      </c>
    </row>
    <row r="685" spans="1:15" ht="15" customHeight="1" x14ac:dyDescent="0.25">
      <c r="A685" s="2">
        <v>1551403</v>
      </c>
      <c r="B685" s="2" t="s">
        <v>691</v>
      </c>
      <c r="C685" s="2" t="s">
        <v>222</v>
      </c>
      <c r="D685" s="2" t="s">
        <v>558</v>
      </c>
      <c r="E685" s="2" t="s">
        <v>2219</v>
      </c>
      <c r="F685" s="2" t="s">
        <v>297</v>
      </c>
      <c r="H685" s="2">
        <v>2</v>
      </c>
      <c r="L685" s="2" t="s">
        <v>1031</v>
      </c>
      <c r="M685" s="2" t="s">
        <v>1253</v>
      </c>
    </row>
    <row r="686" spans="1:15" ht="15" customHeight="1" x14ac:dyDescent="0.25">
      <c r="A686" s="2">
        <v>1550102</v>
      </c>
      <c r="B686" s="2" t="s">
        <v>691</v>
      </c>
      <c r="C686" s="2" t="s">
        <v>222</v>
      </c>
      <c r="D686" s="2" t="s">
        <v>552</v>
      </c>
      <c r="E686" s="2" t="s">
        <v>2237</v>
      </c>
      <c r="F686" s="2" t="s">
        <v>295</v>
      </c>
      <c r="H686" s="2">
        <v>7</v>
      </c>
      <c r="I686" s="2">
        <v>4</v>
      </c>
      <c r="J686" s="2">
        <v>4</v>
      </c>
      <c r="L686" s="2" t="s">
        <v>2238</v>
      </c>
      <c r="M686" s="2" t="s">
        <v>2238</v>
      </c>
      <c r="N686" s="2" t="s">
        <v>2238</v>
      </c>
      <c r="O686" s="2" t="s">
        <v>2238</v>
      </c>
    </row>
    <row r="687" spans="1:15" ht="15" customHeight="1" x14ac:dyDescent="0.25">
      <c r="A687" s="2">
        <v>1551204</v>
      </c>
      <c r="B687" s="2" t="s">
        <v>691</v>
      </c>
      <c r="C687" s="2" t="s">
        <v>222</v>
      </c>
      <c r="D687" s="2" t="s">
        <v>554</v>
      </c>
      <c r="E687" s="2" t="s">
        <v>2269</v>
      </c>
      <c r="F687" s="2" t="s">
        <v>295</v>
      </c>
      <c r="H687" s="2">
        <v>4</v>
      </c>
      <c r="I687" s="2">
        <v>2</v>
      </c>
      <c r="J687" s="2">
        <v>1</v>
      </c>
      <c r="L687" s="2" t="s">
        <v>2270</v>
      </c>
      <c r="M687" s="2" t="s">
        <v>249</v>
      </c>
      <c r="N687" s="2" t="s">
        <v>2271</v>
      </c>
      <c r="O687" s="2" t="s">
        <v>2272</v>
      </c>
    </row>
    <row r="688" spans="1:15" ht="15" customHeight="1" x14ac:dyDescent="0.25">
      <c r="A688" s="2">
        <v>1551306</v>
      </c>
      <c r="B688" s="2" t="s">
        <v>691</v>
      </c>
      <c r="C688" s="2" t="s">
        <v>222</v>
      </c>
      <c r="D688" s="2" t="s">
        <v>556</v>
      </c>
      <c r="E688" s="2" t="s">
        <v>2273</v>
      </c>
      <c r="F688" s="2" t="s">
        <v>295</v>
      </c>
      <c r="H688" s="2">
        <v>2</v>
      </c>
      <c r="I688" s="2">
        <v>3</v>
      </c>
      <c r="J688" s="2">
        <v>2</v>
      </c>
      <c r="L688" s="2" t="s">
        <v>1288</v>
      </c>
      <c r="M688" s="2" t="s">
        <v>2274</v>
      </c>
    </row>
    <row r="689" spans="1:16" ht="15" customHeight="1" x14ac:dyDescent="0.25">
      <c r="A689" s="2">
        <v>1561201</v>
      </c>
      <c r="B689" s="2" t="s">
        <v>691</v>
      </c>
      <c r="C689" s="2" t="s">
        <v>224</v>
      </c>
      <c r="D689" s="2" t="s">
        <v>554</v>
      </c>
      <c r="E689" s="2" t="s">
        <v>2276</v>
      </c>
      <c r="F689" s="2" t="s">
        <v>295</v>
      </c>
      <c r="H689" s="2">
        <v>6</v>
      </c>
      <c r="I689" s="2">
        <v>5</v>
      </c>
      <c r="J689" s="2">
        <v>5</v>
      </c>
      <c r="L689" s="2" t="s">
        <v>2277</v>
      </c>
      <c r="M689" s="2" t="s">
        <v>249</v>
      </c>
      <c r="N689" s="2" t="s">
        <v>2278</v>
      </c>
      <c r="O689" s="2" t="s">
        <v>2279</v>
      </c>
    </row>
    <row r="690" spans="1:16" ht="15" customHeight="1" x14ac:dyDescent="0.25">
      <c r="A690" s="2">
        <v>1521101</v>
      </c>
      <c r="B690" s="2" t="s">
        <v>691</v>
      </c>
      <c r="C690" s="2" t="s">
        <v>218</v>
      </c>
      <c r="D690" s="2" t="s">
        <v>552</v>
      </c>
      <c r="E690" s="2" t="s">
        <v>2280</v>
      </c>
      <c r="F690" s="2" t="s">
        <v>295</v>
      </c>
      <c r="H690" s="2">
        <v>7</v>
      </c>
      <c r="I690" s="2">
        <v>6</v>
      </c>
      <c r="J690" s="2">
        <v>6</v>
      </c>
      <c r="L690" s="2" t="s">
        <v>2281</v>
      </c>
      <c r="M690" s="2" t="s">
        <v>2282</v>
      </c>
      <c r="N690" s="2" t="s">
        <v>2283</v>
      </c>
    </row>
    <row r="691" spans="1:16" ht="15" customHeight="1" x14ac:dyDescent="0.25">
      <c r="A691" s="2">
        <v>1521203</v>
      </c>
      <c r="B691" s="2" t="s">
        <v>691</v>
      </c>
      <c r="C691" s="2" t="s">
        <v>218</v>
      </c>
      <c r="D691" s="2" t="s">
        <v>554</v>
      </c>
      <c r="E691" s="2" t="s">
        <v>2284</v>
      </c>
      <c r="F691" s="2" t="s">
        <v>295</v>
      </c>
      <c r="H691" s="2">
        <v>7</v>
      </c>
      <c r="I691" s="2">
        <v>8</v>
      </c>
      <c r="J691" s="2">
        <v>7</v>
      </c>
      <c r="L691" s="2" t="s">
        <v>249</v>
      </c>
      <c r="M691" s="2" t="s">
        <v>1100</v>
      </c>
      <c r="N691" s="2" t="s">
        <v>2285</v>
      </c>
    </row>
    <row r="692" spans="1:16" ht="15" customHeight="1" x14ac:dyDescent="0.25">
      <c r="A692" s="2">
        <v>1521304</v>
      </c>
      <c r="B692" s="2" t="s">
        <v>691</v>
      </c>
      <c r="C692" s="2" t="s">
        <v>218</v>
      </c>
      <c r="D692" s="2" t="s">
        <v>556</v>
      </c>
      <c r="E692" s="2" t="s">
        <v>2286</v>
      </c>
      <c r="F692" s="2" t="s">
        <v>295</v>
      </c>
      <c r="H692" s="2">
        <v>5</v>
      </c>
      <c r="I692" s="2">
        <v>1</v>
      </c>
      <c r="J692" s="2">
        <v>2</v>
      </c>
      <c r="L692" s="2" t="s">
        <v>2148</v>
      </c>
      <c r="M692" s="2" t="s">
        <v>2149</v>
      </c>
      <c r="N692" s="2" t="s">
        <v>1112</v>
      </c>
    </row>
    <row r="693" spans="1:16" ht="15" customHeight="1" x14ac:dyDescent="0.25">
      <c r="A693" s="2">
        <v>1520302</v>
      </c>
      <c r="B693" s="2" t="s">
        <v>691</v>
      </c>
      <c r="C693" s="2" t="s">
        <v>218</v>
      </c>
      <c r="D693" s="2" t="s">
        <v>556</v>
      </c>
      <c r="E693" s="2" t="s">
        <v>2147</v>
      </c>
      <c r="F693" s="2" t="s">
        <v>295</v>
      </c>
      <c r="H693" s="2">
        <v>5</v>
      </c>
      <c r="I693" s="2">
        <v>1</v>
      </c>
      <c r="J693" s="2">
        <v>2</v>
      </c>
      <c r="L693" s="2" t="s">
        <v>2148</v>
      </c>
      <c r="M693" s="2" t="s">
        <v>2149</v>
      </c>
      <c r="N693" s="2" t="s">
        <v>1112</v>
      </c>
    </row>
    <row r="694" spans="1:16" ht="15" customHeight="1" x14ac:dyDescent="0.25">
      <c r="A694" s="2">
        <v>1520402</v>
      </c>
      <c r="B694" s="2" t="s">
        <v>691</v>
      </c>
      <c r="C694" s="2" t="s">
        <v>218</v>
      </c>
      <c r="D694" s="2" t="s">
        <v>558</v>
      </c>
      <c r="E694" s="2" t="s">
        <v>2144</v>
      </c>
      <c r="F694" s="2" t="s">
        <v>295</v>
      </c>
      <c r="H694" s="2">
        <v>3</v>
      </c>
      <c r="I694" s="2">
        <v>1</v>
      </c>
      <c r="J694" s="2">
        <v>1</v>
      </c>
      <c r="L694" s="2" t="s">
        <v>2145</v>
      </c>
      <c r="M694" s="2" t="s">
        <v>2146</v>
      </c>
    </row>
    <row r="695" spans="1:16" ht="15" customHeight="1" x14ac:dyDescent="0.25">
      <c r="A695" s="2">
        <v>1521407</v>
      </c>
      <c r="B695" s="2" t="s">
        <v>691</v>
      </c>
      <c r="C695" s="2" t="s">
        <v>218</v>
      </c>
      <c r="D695" s="2" t="s">
        <v>558</v>
      </c>
      <c r="E695" s="2" t="s">
        <v>2288</v>
      </c>
      <c r="F695" s="2" t="s">
        <v>295</v>
      </c>
      <c r="H695" s="2">
        <v>1</v>
      </c>
      <c r="I695" s="2">
        <v>1</v>
      </c>
      <c r="J695" s="2">
        <v>1</v>
      </c>
      <c r="L695" s="2" t="s">
        <v>2134</v>
      </c>
      <c r="M695" s="2" t="s">
        <v>2135</v>
      </c>
    </row>
    <row r="696" spans="1:16" ht="15" customHeight="1" x14ac:dyDescent="0.25">
      <c r="A696" s="2">
        <v>1520403</v>
      </c>
      <c r="B696" s="2" t="s">
        <v>691</v>
      </c>
      <c r="C696" s="2" t="s">
        <v>218</v>
      </c>
      <c r="D696" s="2" t="s">
        <v>558</v>
      </c>
      <c r="E696" s="2" t="s">
        <v>2133</v>
      </c>
      <c r="F696" s="2" t="s">
        <v>295</v>
      </c>
      <c r="H696" s="2">
        <v>1</v>
      </c>
      <c r="I696" s="2">
        <v>1</v>
      </c>
      <c r="J696" s="2">
        <v>1</v>
      </c>
      <c r="L696" s="2" t="s">
        <v>2134</v>
      </c>
      <c r="M696" s="2" t="s">
        <v>2135</v>
      </c>
    </row>
    <row r="697" spans="1:16" ht="15" customHeight="1" x14ac:dyDescent="0.25">
      <c r="A697" s="2">
        <v>1551303</v>
      </c>
      <c r="B697" s="2" t="s">
        <v>691</v>
      </c>
      <c r="C697" s="2" t="s">
        <v>222</v>
      </c>
      <c r="D697" s="2" t="s">
        <v>556</v>
      </c>
      <c r="E697" s="2" t="s">
        <v>2260</v>
      </c>
      <c r="F697" s="2" t="s">
        <v>295</v>
      </c>
      <c r="H697" s="2">
        <v>1</v>
      </c>
      <c r="I697" s="2">
        <v>1</v>
      </c>
      <c r="J697" s="2">
        <v>1</v>
      </c>
      <c r="L697" s="2" t="s">
        <v>2291</v>
      </c>
      <c r="M697" s="2" t="s">
        <v>1520</v>
      </c>
      <c r="N697" s="2" t="s">
        <v>2261</v>
      </c>
    </row>
    <row r="698" spans="1:16" ht="15" customHeight="1" x14ac:dyDescent="0.25">
      <c r="A698" s="2">
        <v>1551405</v>
      </c>
      <c r="B698" s="2" t="s">
        <v>691</v>
      </c>
      <c r="C698" s="2" t="s">
        <v>222</v>
      </c>
      <c r="D698" s="2" t="s">
        <v>558</v>
      </c>
      <c r="E698" s="2" t="s">
        <v>2209</v>
      </c>
      <c r="F698" s="2" t="s">
        <v>295</v>
      </c>
      <c r="H698" s="2">
        <v>2</v>
      </c>
      <c r="I698" s="2">
        <v>2</v>
      </c>
      <c r="J698" s="2">
        <v>2</v>
      </c>
      <c r="L698" s="2" t="s">
        <v>2210</v>
      </c>
      <c r="M698" s="2" t="s">
        <v>2292</v>
      </c>
    </row>
    <row r="699" spans="1:16" ht="15" customHeight="1" x14ac:dyDescent="0.25">
      <c r="A699" s="2">
        <v>1551402</v>
      </c>
      <c r="B699" s="2" t="s">
        <v>691</v>
      </c>
      <c r="C699" s="2" t="s">
        <v>222</v>
      </c>
      <c r="D699" s="2" t="s">
        <v>558</v>
      </c>
      <c r="E699" s="2" t="s">
        <v>2215</v>
      </c>
      <c r="F699" s="2" t="s">
        <v>295</v>
      </c>
      <c r="H699" s="2">
        <v>4</v>
      </c>
      <c r="I699" s="2">
        <v>3</v>
      </c>
      <c r="J699" s="2">
        <v>3</v>
      </c>
      <c r="L699" s="2" t="s">
        <v>2294</v>
      </c>
      <c r="M699" s="2" t="s">
        <v>2275</v>
      </c>
    </row>
    <row r="700" spans="1:16" ht="15" customHeight="1" x14ac:dyDescent="0.25">
      <c r="A700" s="2">
        <v>1551201</v>
      </c>
      <c r="B700" s="2" t="s">
        <v>691</v>
      </c>
      <c r="C700" s="2" t="s">
        <v>222</v>
      </c>
      <c r="D700" s="2" t="s">
        <v>554</v>
      </c>
      <c r="E700" s="2" t="s">
        <v>2263</v>
      </c>
      <c r="F700" s="2" t="s">
        <v>295</v>
      </c>
      <c r="H700" s="2">
        <v>5</v>
      </c>
      <c r="I700" s="2">
        <v>2</v>
      </c>
      <c r="J700" s="2">
        <v>6</v>
      </c>
      <c r="L700" s="2" t="s">
        <v>257</v>
      </c>
      <c r="M700" s="2" t="s">
        <v>255</v>
      </c>
      <c r="N700" s="2" t="s">
        <v>2295</v>
      </c>
      <c r="O700" s="2" t="s">
        <v>1055</v>
      </c>
      <c r="P700" s="2" t="s">
        <v>2296</v>
      </c>
    </row>
    <row r="701" spans="1:16" ht="15" customHeight="1" x14ac:dyDescent="0.25">
      <c r="A701" s="2">
        <v>1571304</v>
      </c>
      <c r="B701" s="2" t="s">
        <v>691</v>
      </c>
      <c r="C701" s="2" t="s">
        <v>193</v>
      </c>
      <c r="D701" s="2" t="s">
        <v>556</v>
      </c>
      <c r="E701" s="2" t="s">
        <v>39</v>
      </c>
      <c r="F701" s="2" t="s">
        <v>297</v>
      </c>
      <c r="H701" s="2">
        <v>2</v>
      </c>
      <c r="L701" s="2" t="s">
        <v>2299</v>
      </c>
    </row>
    <row r="702" spans="1:16" ht="15" customHeight="1" x14ac:dyDescent="0.25">
      <c r="A702" s="2">
        <v>1551203</v>
      </c>
      <c r="B702" s="2" t="s">
        <v>691</v>
      </c>
      <c r="C702" s="2" t="s">
        <v>222</v>
      </c>
      <c r="D702" s="2" t="s">
        <v>554</v>
      </c>
      <c r="E702" s="2" t="s">
        <v>2300</v>
      </c>
      <c r="F702" s="2" t="s">
        <v>295</v>
      </c>
      <c r="H702" s="2">
        <v>6</v>
      </c>
      <c r="I702" s="2">
        <v>6</v>
      </c>
      <c r="J702" s="2">
        <v>6</v>
      </c>
      <c r="L702" s="2" t="s">
        <v>2301</v>
      </c>
      <c r="M702" s="2" t="s">
        <v>257</v>
      </c>
      <c r="N702" s="2" t="s">
        <v>2302</v>
      </c>
    </row>
    <row r="703" spans="1:16" ht="15" customHeight="1" x14ac:dyDescent="0.25">
      <c r="A703" s="2">
        <v>1561406</v>
      </c>
      <c r="B703" s="2" t="s">
        <v>691</v>
      </c>
      <c r="C703" s="2" t="s">
        <v>224</v>
      </c>
      <c r="D703" s="2" t="s">
        <v>558</v>
      </c>
      <c r="E703" s="2" t="s">
        <v>2081</v>
      </c>
      <c r="F703" s="2" t="s">
        <v>295</v>
      </c>
      <c r="H703" s="2">
        <v>2</v>
      </c>
      <c r="I703" s="2">
        <v>1</v>
      </c>
      <c r="J703" s="2">
        <v>1</v>
      </c>
      <c r="L703" s="2" t="s">
        <v>2315</v>
      </c>
      <c r="M703" s="2" t="s">
        <v>2314</v>
      </c>
      <c r="N703" s="2" t="s">
        <v>257</v>
      </c>
    </row>
    <row r="704" spans="1:16" ht="15" customHeight="1" x14ac:dyDescent="0.25">
      <c r="A704" s="2">
        <v>1561405</v>
      </c>
      <c r="B704" s="2" t="s">
        <v>691</v>
      </c>
      <c r="C704" s="2" t="s">
        <v>224</v>
      </c>
      <c r="D704" s="2" t="s">
        <v>558</v>
      </c>
      <c r="E704" s="2" t="s">
        <v>2085</v>
      </c>
      <c r="F704" s="2" t="s">
        <v>295</v>
      </c>
      <c r="H704" s="2">
        <v>3</v>
      </c>
      <c r="I704" s="2">
        <v>2</v>
      </c>
      <c r="J704" s="2">
        <v>2</v>
      </c>
      <c r="L704" s="2" t="s">
        <v>2316</v>
      </c>
      <c r="M704" s="2" t="s">
        <v>2086</v>
      </c>
    </row>
    <row r="705" spans="1:15" ht="15" customHeight="1" x14ac:dyDescent="0.25">
      <c r="A705" s="2">
        <v>1561306</v>
      </c>
      <c r="B705" s="2" t="s">
        <v>691</v>
      </c>
      <c r="C705" s="2" t="s">
        <v>224</v>
      </c>
      <c r="D705" s="2" t="s">
        <v>556</v>
      </c>
      <c r="E705" s="2" t="s">
        <v>2056</v>
      </c>
      <c r="F705" s="2" t="s">
        <v>295</v>
      </c>
      <c r="H705" s="2">
        <v>6</v>
      </c>
      <c r="I705" s="2">
        <v>5</v>
      </c>
      <c r="J705" s="2">
        <v>5</v>
      </c>
      <c r="L705" s="2" t="s">
        <v>2057</v>
      </c>
      <c r="M705" s="2" t="s">
        <v>2058</v>
      </c>
      <c r="N705" s="2" t="s">
        <v>692</v>
      </c>
    </row>
    <row r="706" spans="1:15" ht="15" customHeight="1" x14ac:dyDescent="0.25">
      <c r="A706" s="2">
        <v>1551304</v>
      </c>
      <c r="B706" s="2" t="s">
        <v>691</v>
      </c>
      <c r="C706" s="2" t="s">
        <v>222</v>
      </c>
      <c r="D706" s="2" t="s">
        <v>556</v>
      </c>
      <c r="E706" s="2" t="s">
        <v>2226</v>
      </c>
      <c r="F706" s="2" t="s">
        <v>295</v>
      </c>
      <c r="H706" s="2">
        <v>3</v>
      </c>
      <c r="I706" s="2">
        <v>3</v>
      </c>
      <c r="J706" s="2">
        <v>3</v>
      </c>
      <c r="L706" s="2" t="s">
        <v>2318</v>
      </c>
      <c r="M706" s="2" t="s">
        <v>2317</v>
      </c>
    </row>
    <row r="707" spans="1:15" ht="15" customHeight="1" x14ac:dyDescent="0.25">
      <c r="A707" s="2">
        <v>1550403</v>
      </c>
      <c r="B707" s="2" t="s">
        <v>691</v>
      </c>
      <c r="C707" s="2" t="s">
        <v>222</v>
      </c>
      <c r="D707" s="2" t="s">
        <v>558</v>
      </c>
      <c r="E707" s="2" t="s">
        <v>2220</v>
      </c>
      <c r="F707" s="2" t="s">
        <v>297</v>
      </c>
      <c r="H707" s="2">
        <v>1</v>
      </c>
      <c r="L707" s="2" t="s">
        <v>2320</v>
      </c>
      <c r="M707" s="2" t="s">
        <v>2221</v>
      </c>
    </row>
    <row r="708" spans="1:15" ht="15" customHeight="1" x14ac:dyDescent="0.25">
      <c r="A708" s="2">
        <v>1551302</v>
      </c>
      <c r="B708" s="2" t="s">
        <v>691</v>
      </c>
      <c r="C708" s="2" t="s">
        <v>222</v>
      </c>
      <c r="D708" s="2" t="s">
        <v>556</v>
      </c>
      <c r="E708" s="2" t="s">
        <v>2321</v>
      </c>
      <c r="F708" s="2" t="s">
        <v>295</v>
      </c>
      <c r="H708" s="2">
        <v>6</v>
      </c>
      <c r="I708" s="2">
        <v>3</v>
      </c>
      <c r="J708" s="2">
        <v>3</v>
      </c>
      <c r="L708" s="2" t="s">
        <v>2217</v>
      </c>
      <c r="M708" s="2" t="s">
        <v>2218</v>
      </c>
      <c r="N708" s="2" t="s">
        <v>844</v>
      </c>
    </row>
    <row r="709" spans="1:15" ht="15" customHeight="1" x14ac:dyDescent="0.25">
      <c r="A709" s="2">
        <v>1550301</v>
      </c>
      <c r="B709" s="2" t="s">
        <v>691</v>
      </c>
      <c r="C709" s="2" t="s">
        <v>222</v>
      </c>
      <c r="D709" s="2" t="s">
        <v>556</v>
      </c>
      <c r="E709" s="2" t="s">
        <v>2216</v>
      </c>
      <c r="F709" s="2" t="s">
        <v>295</v>
      </c>
      <c r="H709" s="2">
        <v>6</v>
      </c>
      <c r="I709" s="2">
        <v>3</v>
      </c>
      <c r="J709" s="2">
        <v>3</v>
      </c>
      <c r="L709" s="2" t="s">
        <v>2217</v>
      </c>
      <c r="M709" s="2" t="s">
        <v>2218</v>
      </c>
      <c r="N709" s="2" t="s">
        <v>844</v>
      </c>
    </row>
    <row r="710" spans="1:15" ht="15" customHeight="1" x14ac:dyDescent="0.25">
      <c r="A710" s="2">
        <v>1551102</v>
      </c>
      <c r="B710" s="2" t="s">
        <v>691</v>
      </c>
      <c r="C710" s="2" t="s">
        <v>222</v>
      </c>
      <c r="D710" s="2" t="s">
        <v>552</v>
      </c>
      <c r="E710" s="2" t="s">
        <v>2258</v>
      </c>
      <c r="F710" s="2" t="s">
        <v>295</v>
      </c>
      <c r="H710" s="2">
        <v>4</v>
      </c>
      <c r="I710" s="2">
        <v>4</v>
      </c>
      <c r="J710" s="2">
        <v>4</v>
      </c>
      <c r="L710" s="2" t="s">
        <v>2259</v>
      </c>
      <c r="M710" s="2" t="s">
        <v>2319</v>
      </c>
      <c r="N710" s="2" t="s">
        <v>2322</v>
      </c>
      <c r="O710" s="2" t="s">
        <v>2502</v>
      </c>
    </row>
    <row r="711" spans="1:15" ht="15" customHeight="1" x14ac:dyDescent="0.25">
      <c r="A711" s="2">
        <v>1571406</v>
      </c>
      <c r="B711" s="2" t="s">
        <v>691</v>
      </c>
      <c r="C711" s="2" t="s">
        <v>193</v>
      </c>
      <c r="D711" s="2" t="s">
        <v>558</v>
      </c>
      <c r="E711" s="2" t="s">
        <v>35</v>
      </c>
      <c r="F711" s="2" t="s">
        <v>297</v>
      </c>
      <c r="H711" s="2">
        <v>6</v>
      </c>
      <c r="L711" s="2" t="s">
        <v>1784</v>
      </c>
      <c r="M711" s="2" t="s">
        <v>1785</v>
      </c>
    </row>
    <row r="712" spans="1:15" ht="15" customHeight="1" x14ac:dyDescent="0.25">
      <c r="A712" s="2">
        <v>1510103</v>
      </c>
      <c r="B712" s="2" t="s">
        <v>691</v>
      </c>
      <c r="C712" s="2" t="s">
        <v>216</v>
      </c>
      <c r="D712" s="2" t="s">
        <v>552</v>
      </c>
      <c r="E712" s="2" t="s">
        <v>2172</v>
      </c>
      <c r="F712" s="2" t="s">
        <v>398</v>
      </c>
      <c r="H712" s="2">
        <v>0</v>
      </c>
      <c r="L712" s="2" t="s">
        <v>2339</v>
      </c>
      <c r="M712" s="2" t="s">
        <v>2340</v>
      </c>
      <c r="N712" s="2" t="s">
        <v>2341</v>
      </c>
      <c r="O712" s="2" t="s">
        <v>2342</v>
      </c>
    </row>
    <row r="713" spans="1:15" ht="15" customHeight="1" x14ac:dyDescent="0.25">
      <c r="A713" s="2">
        <v>1511103</v>
      </c>
      <c r="B713" s="2" t="s">
        <v>691</v>
      </c>
      <c r="C713" s="2" t="s">
        <v>216</v>
      </c>
      <c r="D713" s="2" t="s">
        <v>552</v>
      </c>
      <c r="E713" s="2" t="s">
        <v>1762</v>
      </c>
      <c r="F713" s="2" t="s">
        <v>295</v>
      </c>
      <c r="H713" s="2">
        <v>4</v>
      </c>
      <c r="I713" s="2">
        <v>1</v>
      </c>
      <c r="J713" s="2">
        <v>1</v>
      </c>
      <c r="L713" s="2" t="s">
        <v>2171</v>
      </c>
      <c r="M713" s="2" t="s">
        <v>2343</v>
      </c>
    </row>
    <row r="714" spans="1:15" ht="15" customHeight="1" x14ac:dyDescent="0.25">
      <c r="A714" s="2">
        <v>1570406</v>
      </c>
      <c r="B714" s="2" t="s">
        <v>691</v>
      </c>
      <c r="C714" s="2" t="s">
        <v>193</v>
      </c>
      <c r="D714" s="2" t="s">
        <v>558</v>
      </c>
      <c r="E714" s="2" t="s">
        <v>2151</v>
      </c>
      <c r="F714" s="2" t="s">
        <v>295</v>
      </c>
      <c r="G714" s="2" t="s">
        <v>671</v>
      </c>
      <c r="H714" s="2">
        <v>3</v>
      </c>
      <c r="I714" s="2">
        <v>3</v>
      </c>
      <c r="J714" s="2">
        <v>3</v>
      </c>
      <c r="L714" s="2" t="s">
        <v>977</v>
      </c>
      <c r="M714" s="2" t="s">
        <v>2345</v>
      </c>
    </row>
    <row r="715" spans="1:15" ht="15" customHeight="1" x14ac:dyDescent="0.25">
      <c r="A715" s="2">
        <v>1521404</v>
      </c>
      <c r="B715" s="2" t="s">
        <v>691</v>
      </c>
      <c r="C715" s="2" t="s">
        <v>218</v>
      </c>
      <c r="D715" s="2" t="s">
        <v>558</v>
      </c>
      <c r="E715" s="2" t="s">
        <v>2124</v>
      </c>
      <c r="F715" s="2" t="s">
        <v>295</v>
      </c>
      <c r="H715" s="2">
        <v>3</v>
      </c>
      <c r="I715" s="2">
        <v>3</v>
      </c>
      <c r="J715" s="2">
        <v>2</v>
      </c>
      <c r="L715" s="2" t="s">
        <v>2125</v>
      </c>
      <c r="M715" s="2" t="s">
        <v>2126</v>
      </c>
      <c r="N715" s="2" t="s">
        <v>2346</v>
      </c>
    </row>
    <row r="716" spans="1:15" ht="15" customHeight="1" x14ac:dyDescent="0.25">
      <c r="A716" s="2">
        <v>1521206</v>
      </c>
      <c r="B716" s="2" t="s">
        <v>691</v>
      </c>
      <c r="C716" s="2" t="s">
        <v>218</v>
      </c>
      <c r="D716" s="2" t="s">
        <v>554</v>
      </c>
      <c r="E716" s="2" t="s">
        <v>2143</v>
      </c>
      <c r="F716" s="2" t="s">
        <v>295</v>
      </c>
      <c r="H716" s="2">
        <v>2</v>
      </c>
      <c r="I716" s="2">
        <v>0</v>
      </c>
      <c r="J716" s="2">
        <v>1</v>
      </c>
      <c r="L716" s="2" t="s">
        <v>2347</v>
      </c>
      <c r="M716" s="2" t="s">
        <v>1084</v>
      </c>
    </row>
    <row r="717" spans="1:15" ht="15" customHeight="1" x14ac:dyDescent="0.25">
      <c r="A717" s="2">
        <v>1521204</v>
      </c>
      <c r="B717" s="2" t="s">
        <v>691</v>
      </c>
      <c r="C717" s="2" t="s">
        <v>218</v>
      </c>
      <c r="D717" s="2" t="s">
        <v>554</v>
      </c>
      <c r="E717" s="2" t="s">
        <v>2161</v>
      </c>
      <c r="F717" s="2" t="s">
        <v>295</v>
      </c>
      <c r="H717" s="2">
        <v>6</v>
      </c>
      <c r="I717" s="2">
        <v>2</v>
      </c>
      <c r="J717" s="2">
        <v>2</v>
      </c>
      <c r="L717" s="2" t="s">
        <v>2162</v>
      </c>
      <c r="M717" s="2" t="s">
        <v>2163</v>
      </c>
    </row>
    <row r="718" spans="1:15" ht="15" customHeight="1" x14ac:dyDescent="0.25">
      <c r="A718" s="2">
        <v>1521406</v>
      </c>
      <c r="B718" s="2" t="s">
        <v>691</v>
      </c>
      <c r="C718" s="2" t="s">
        <v>218</v>
      </c>
      <c r="D718" s="2" t="s">
        <v>558</v>
      </c>
      <c r="E718" s="2" t="s">
        <v>2287</v>
      </c>
      <c r="F718" s="2" t="s">
        <v>295</v>
      </c>
      <c r="H718" s="2">
        <v>3</v>
      </c>
      <c r="I718" s="2">
        <v>2</v>
      </c>
      <c r="J718" s="2">
        <v>1</v>
      </c>
      <c r="L718" s="2" t="s">
        <v>2145</v>
      </c>
      <c r="M718" s="2" t="s">
        <v>2146</v>
      </c>
    </row>
    <row r="719" spans="1:15" ht="15" customHeight="1" x14ac:dyDescent="0.25">
      <c r="A719" s="2">
        <v>1511206</v>
      </c>
      <c r="B719" s="2" t="s">
        <v>691</v>
      </c>
      <c r="C719" s="2" t="s">
        <v>216</v>
      </c>
      <c r="D719" s="2" t="s">
        <v>554</v>
      </c>
      <c r="E719" s="2" t="s">
        <v>2351</v>
      </c>
      <c r="F719" s="2" t="s">
        <v>297</v>
      </c>
      <c r="H719" s="2">
        <v>2</v>
      </c>
      <c r="L719" s="2" t="s">
        <v>2352</v>
      </c>
    </row>
    <row r="720" spans="1:15" ht="15" customHeight="1" x14ac:dyDescent="0.25">
      <c r="A720" s="2">
        <v>1510104</v>
      </c>
      <c r="B720" s="2" t="s">
        <v>691</v>
      </c>
      <c r="C720" s="2" t="s">
        <v>216</v>
      </c>
      <c r="D720" s="2" t="s">
        <v>552</v>
      </c>
      <c r="E720" s="2" t="s">
        <v>1777</v>
      </c>
      <c r="F720" s="2" t="s">
        <v>297</v>
      </c>
      <c r="H720" s="2">
        <v>0</v>
      </c>
      <c r="L720" s="2" t="s">
        <v>704</v>
      </c>
      <c r="M720" s="2" t="s">
        <v>2170</v>
      </c>
    </row>
    <row r="721" spans="1:16" ht="15" customHeight="1" x14ac:dyDescent="0.25">
      <c r="A721" s="2">
        <v>1510105</v>
      </c>
      <c r="B721" s="2" t="s">
        <v>691</v>
      </c>
      <c r="C721" s="2" t="s">
        <v>216</v>
      </c>
      <c r="D721" s="2" t="s">
        <v>552</v>
      </c>
      <c r="E721" s="2" t="s">
        <v>2358</v>
      </c>
      <c r="F721" s="2" t="s">
        <v>398</v>
      </c>
      <c r="H721" s="2">
        <v>0</v>
      </c>
      <c r="K721" s="2">
        <v>1</v>
      </c>
      <c r="L721" s="2" t="s">
        <v>2359</v>
      </c>
      <c r="M721" s="2" t="s">
        <v>1893</v>
      </c>
    </row>
    <row r="722" spans="1:16" ht="15" customHeight="1" x14ac:dyDescent="0.25">
      <c r="A722" s="2">
        <v>1511102</v>
      </c>
      <c r="B722" s="2" t="s">
        <v>691</v>
      </c>
      <c r="C722" s="2" t="s">
        <v>216</v>
      </c>
      <c r="D722" s="2" t="s">
        <v>552</v>
      </c>
      <c r="E722" s="2" t="s">
        <v>2076</v>
      </c>
      <c r="F722" s="2" t="s">
        <v>297</v>
      </c>
      <c r="H722" s="2">
        <v>1</v>
      </c>
      <c r="L722" s="2" t="s">
        <v>2360</v>
      </c>
      <c r="M722" s="2" t="s">
        <v>2399</v>
      </c>
    </row>
    <row r="723" spans="1:16" ht="15" customHeight="1" x14ac:dyDescent="0.25">
      <c r="A723" s="2">
        <v>1511402</v>
      </c>
      <c r="B723" s="2" t="s">
        <v>691</v>
      </c>
      <c r="C723" s="2" t="s">
        <v>216</v>
      </c>
      <c r="D723" s="2" t="s">
        <v>558</v>
      </c>
      <c r="E723" s="2" t="s">
        <v>2363</v>
      </c>
      <c r="F723" s="2" t="s">
        <v>299</v>
      </c>
      <c r="H723" s="2">
        <v>2</v>
      </c>
      <c r="K723" s="2">
        <v>2</v>
      </c>
      <c r="L723" s="2" t="s">
        <v>2254</v>
      </c>
      <c r="M723" s="2" t="s">
        <v>2409</v>
      </c>
    </row>
    <row r="724" spans="1:16" ht="15" customHeight="1" x14ac:dyDescent="0.25">
      <c r="A724" s="2">
        <v>1541401</v>
      </c>
      <c r="B724" s="2" t="s">
        <v>691</v>
      </c>
      <c r="C724" s="2" t="s">
        <v>220</v>
      </c>
      <c r="D724" s="2" t="s">
        <v>558</v>
      </c>
      <c r="E724" s="2" t="s">
        <v>2368</v>
      </c>
      <c r="F724" s="2" t="s">
        <v>297</v>
      </c>
      <c r="H724" s="2">
        <v>2</v>
      </c>
      <c r="L724" s="2" t="s">
        <v>2369</v>
      </c>
    </row>
    <row r="725" spans="1:16" ht="15" customHeight="1" x14ac:dyDescent="0.25">
      <c r="A725" s="2">
        <v>1540401</v>
      </c>
      <c r="B725" s="2" t="s">
        <v>691</v>
      </c>
      <c r="C725" s="2" t="s">
        <v>220</v>
      </c>
      <c r="D725" s="2" t="s">
        <v>558</v>
      </c>
      <c r="E725" s="2" t="s">
        <v>2374</v>
      </c>
      <c r="F725" s="2" t="s">
        <v>398</v>
      </c>
      <c r="H725" s="2">
        <v>0</v>
      </c>
      <c r="L725" s="2" t="s">
        <v>2375</v>
      </c>
    </row>
    <row r="726" spans="1:16" ht="15" customHeight="1" x14ac:dyDescent="0.25">
      <c r="A726" s="2">
        <v>1541201</v>
      </c>
      <c r="B726" s="2" t="s">
        <v>691</v>
      </c>
      <c r="C726" s="2" t="s">
        <v>220</v>
      </c>
      <c r="D726" s="2" t="s">
        <v>554</v>
      </c>
      <c r="E726" s="2" t="s">
        <v>2373</v>
      </c>
      <c r="F726" s="2" t="s">
        <v>295</v>
      </c>
      <c r="H726" s="2">
        <v>6</v>
      </c>
      <c r="I726" s="2">
        <v>5</v>
      </c>
      <c r="J726" s="2">
        <v>5</v>
      </c>
      <c r="L726" s="2" t="s">
        <v>2376</v>
      </c>
      <c r="M726" s="2" t="s">
        <v>2377</v>
      </c>
    </row>
    <row r="727" spans="1:16" ht="15" customHeight="1" x14ac:dyDescent="0.25">
      <c r="A727" s="2">
        <v>1541202</v>
      </c>
      <c r="B727" s="2" t="s">
        <v>691</v>
      </c>
      <c r="C727" s="2" t="s">
        <v>220</v>
      </c>
      <c r="D727" s="2" t="s">
        <v>554</v>
      </c>
      <c r="E727" s="2" t="s">
        <v>2370</v>
      </c>
      <c r="F727" s="2" t="s">
        <v>295</v>
      </c>
      <c r="H727" s="2">
        <v>4</v>
      </c>
      <c r="I727" s="2">
        <v>3</v>
      </c>
      <c r="J727" s="2">
        <v>5</v>
      </c>
      <c r="L727" s="2" t="s">
        <v>263</v>
      </c>
      <c r="M727" s="2" t="s">
        <v>2371</v>
      </c>
      <c r="N727" s="2" t="s">
        <v>2372</v>
      </c>
    </row>
    <row r="728" spans="1:16" ht="15" customHeight="1" x14ac:dyDescent="0.25">
      <c r="A728" s="2">
        <v>1541301</v>
      </c>
      <c r="B728" s="2" t="s">
        <v>691</v>
      </c>
      <c r="C728" s="2" t="s">
        <v>220</v>
      </c>
      <c r="D728" s="2" t="s">
        <v>556</v>
      </c>
      <c r="E728" s="2" t="s">
        <v>2378</v>
      </c>
      <c r="F728" s="2" t="s">
        <v>299</v>
      </c>
      <c r="H728" s="2">
        <v>3</v>
      </c>
      <c r="K728" s="2">
        <v>2</v>
      </c>
      <c r="L728" s="2" t="s">
        <v>2379</v>
      </c>
      <c r="M728" s="2" t="s">
        <v>2380</v>
      </c>
    </row>
    <row r="729" spans="1:16" ht="15" customHeight="1" x14ac:dyDescent="0.25">
      <c r="A729" s="2">
        <v>1541402</v>
      </c>
      <c r="B729" s="2" t="s">
        <v>691</v>
      </c>
      <c r="C729" s="2" t="s">
        <v>220</v>
      </c>
      <c r="D729" s="2" t="s">
        <v>558</v>
      </c>
      <c r="E729" s="2" t="s">
        <v>2381</v>
      </c>
      <c r="F729" s="2" t="s">
        <v>295</v>
      </c>
      <c r="H729" s="2">
        <v>2</v>
      </c>
      <c r="I729" s="2">
        <v>2</v>
      </c>
      <c r="J729" s="2">
        <v>2</v>
      </c>
      <c r="L729" s="2" t="s">
        <v>257</v>
      </c>
      <c r="M729" s="2" t="s">
        <v>2382</v>
      </c>
      <c r="N729" s="2" t="s">
        <v>2383</v>
      </c>
    </row>
    <row r="730" spans="1:16" ht="15" customHeight="1" x14ac:dyDescent="0.25">
      <c r="A730" s="2">
        <v>1541403</v>
      </c>
      <c r="B730" s="2" t="s">
        <v>691</v>
      </c>
      <c r="C730" s="2" t="s">
        <v>220</v>
      </c>
      <c r="D730" s="2" t="s">
        <v>558</v>
      </c>
      <c r="E730" s="2" t="s">
        <v>2384</v>
      </c>
      <c r="F730" s="2" t="s">
        <v>297</v>
      </c>
      <c r="H730" s="2">
        <v>4</v>
      </c>
      <c r="L730" s="2" t="s">
        <v>2385</v>
      </c>
    </row>
    <row r="731" spans="1:16" ht="15" customHeight="1" x14ac:dyDescent="0.25">
      <c r="A731" s="2">
        <v>1541102</v>
      </c>
      <c r="B731" s="2" t="s">
        <v>691</v>
      </c>
      <c r="C731" s="2" t="s">
        <v>220</v>
      </c>
      <c r="D731" s="2" t="s">
        <v>552</v>
      </c>
      <c r="E731" s="2" t="s">
        <v>2386</v>
      </c>
      <c r="F731" s="2" t="s">
        <v>295</v>
      </c>
      <c r="H731" s="2">
        <v>4</v>
      </c>
      <c r="I731" s="2">
        <v>2</v>
      </c>
      <c r="J731" s="2">
        <v>4</v>
      </c>
      <c r="L731" s="2" t="s">
        <v>2387</v>
      </c>
      <c r="M731" s="2" t="s">
        <v>2388</v>
      </c>
      <c r="N731" s="2" t="s">
        <v>2389</v>
      </c>
      <c r="O731" s="2" t="s">
        <v>2390</v>
      </c>
      <c r="P731" s="2" t="s">
        <v>2391</v>
      </c>
    </row>
    <row r="732" spans="1:16" ht="15" customHeight="1" x14ac:dyDescent="0.25">
      <c r="A732" s="2">
        <v>1501303</v>
      </c>
      <c r="B732" s="2" t="s">
        <v>691</v>
      </c>
      <c r="C732" s="2" t="s">
        <v>225</v>
      </c>
      <c r="D732" s="2" t="s">
        <v>556</v>
      </c>
      <c r="E732" s="2" t="s">
        <v>1677</v>
      </c>
      <c r="F732" s="2" t="s">
        <v>295</v>
      </c>
      <c r="H732" s="2">
        <v>6</v>
      </c>
      <c r="I732" s="2">
        <v>4</v>
      </c>
      <c r="J732" s="2">
        <v>4</v>
      </c>
      <c r="L732" s="2" t="s">
        <v>1678</v>
      </c>
      <c r="M732" s="2" t="s">
        <v>257</v>
      </c>
    </row>
    <row r="733" spans="1:16" ht="15" customHeight="1" x14ac:dyDescent="0.25">
      <c r="A733" s="2">
        <v>1541303</v>
      </c>
      <c r="B733" s="2" t="s">
        <v>691</v>
      </c>
      <c r="C733" s="2" t="s">
        <v>220</v>
      </c>
      <c r="D733" s="2" t="s">
        <v>556</v>
      </c>
      <c r="E733" s="2" t="s">
        <v>2392</v>
      </c>
      <c r="F733" s="2" t="s">
        <v>295</v>
      </c>
      <c r="H733" s="2">
        <v>3</v>
      </c>
      <c r="I733" s="2">
        <v>1</v>
      </c>
      <c r="J733" s="2">
        <v>3</v>
      </c>
      <c r="L733" s="2" t="s">
        <v>2393</v>
      </c>
      <c r="M733" s="2" t="s">
        <v>2395</v>
      </c>
    </row>
    <row r="734" spans="1:16" ht="15" customHeight="1" x14ac:dyDescent="0.25">
      <c r="A734" s="2">
        <v>1510107</v>
      </c>
      <c r="B734" s="2" t="s">
        <v>691</v>
      </c>
      <c r="C734" s="2" t="s">
        <v>216</v>
      </c>
      <c r="D734" s="2" t="s">
        <v>552</v>
      </c>
      <c r="E734" s="2" t="s">
        <v>2361</v>
      </c>
      <c r="F734" s="2" t="s">
        <v>295</v>
      </c>
      <c r="H734" s="2">
        <v>5</v>
      </c>
      <c r="I734" s="2">
        <v>4</v>
      </c>
      <c r="J734" s="2">
        <v>4</v>
      </c>
      <c r="L734" s="2" t="s">
        <v>2400</v>
      </c>
      <c r="M734" s="2" t="s">
        <v>2362</v>
      </c>
    </row>
    <row r="735" spans="1:16" ht="15" customHeight="1" x14ac:dyDescent="0.25">
      <c r="A735" s="2">
        <v>1561103</v>
      </c>
      <c r="B735" s="2" t="s">
        <v>691</v>
      </c>
      <c r="C735" s="2" t="s">
        <v>224</v>
      </c>
      <c r="D735" s="2" t="s">
        <v>552</v>
      </c>
      <c r="E735" s="2" t="s">
        <v>2404</v>
      </c>
      <c r="F735" s="2" t="s">
        <v>295</v>
      </c>
      <c r="H735" s="2">
        <v>4</v>
      </c>
      <c r="I735" s="2">
        <v>6</v>
      </c>
      <c r="J735" s="2">
        <v>6</v>
      </c>
      <c r="L735" s="2" t="s">
        <v>249</v>
      </c>
      <c r="M735" s="2" t="s">
        <v>2408</v>
      </c>
      <c r="N735" s="2" t="s">
        <v>2405</v>
      </c>
      <c r="O735" s="2" t="s">
        <v>2406</v>
      </c>
      <c r="P735" s="2" t="s">
        <v>2419</v>
      </c>
    </row>
    <row r="736" spans="1:16" ht="15" customHeight="1" x14ac:dyDescent="0.25">
      <c r="A736" s="2">
        <v>1511104</v>
      </c>
      <c r="B736" s="2" t="s">
        <v>691</v>
      </c>
      <c r="C736" s="2" t="s">
        <v>216</v>
      </c>
      <c r="D736" s="2" t="s">
        <v>552</v>
      </c>
      <c r="E736" s="2" t="s">
        <v>2348</v>
      </c>
      <c r="F736" s="2" t="s">
        <v>295</v>
      </c>
      <c r="H736" s="2">
        <v>6</v>
      </c>
      <c r="I736" s="2">
        <v>2</v>
      </c>
      <c r="J736" s="2">
        <v>4</v>
      </c>
      <c r="L736" s="2" t="s">
        <v>2349</v>
      </c>
      <c r="M736" s="2" t="s">
        <v>2350</v>
      </c>
      <c r="N736" s="2" t="s">
        <v>2437</v>
      </c>
    </row>
    <row r="737" spans="1:15" ht="15" customHeight="1" x14ac:dyDescent="0.25">
      <c r="A737" s="2">
        <v>1530401</v>
      </c>
      <c r="B737" s="2" t="s">
        <v>691</v>
      </c>
      <c r="C737" s="2" t="s">
        <v>219</v>
      </c>
      <c r="D737" s="2" t="s">
        <v>558</v>
      </c>
      <c r="E737" s="2" t="s">
        <v>2438</v>
      </c>
      <c r="F737" s="2" t="s">
        <v>299</v>
      </c>
      <c r="G737" s="2" t="s">
        <v>401</v>
      </c>
      <c r="H737" s="2">
        <v>1</v>
      </c>
      <c r="L737" s="2" t="s">
        <v>2439</v>
      </c>
    </row>
    <row r="738" spans="1:15" ht="15" customHeight="1" x14ac:dyDescent="0.25">
      <c r="A738" s="2">
        <v>1530402</v>
      </c>
      <c r="B738" s="2" t="s">
        <v>691</v>
      </c>
      <c r="C738" s="2" t="s">
        <v>219</v>
      </c>
      <c r="D738" s="2" t="s">
        <v>558</v>
      </c>
      <c r="E738" s="2" t="s">
        <v>2440</v>
      </c>
      <c r="F738" s="2" t="s">
        <v>299</v>
      </c>
      <c r="G738" s="2" t="s">
        <v>401</v>
      </c>
      <c r="H738" s="2">
        <v>1</v>
      </c>
      <c r="L738" s="2" t="s">
        <v>2441</v>
      </c>
    </row>
    <row r="739" spans="1:15" ht="15" customHeight="1" x14ac:dyDescent="0.25">
      <c r="A739" s="2">
        <v>1531401</v>
      </c>
      <c r="B739" s="2" t="s">
        <v>691</v>
      </c>
      <c r="C739" s="2" t="s">
        <v>219</v>
      </c>
      <c r="D739" s="2" t="s">
        <v>558</v>
      </c>
      <c r="E739" s="2" t="s">
        <v>2444</v>
      </c>
      <c r="F739" s="2" t="s">
        <v>297</v>
      </c>
      <c r="H739" s="2">
        <v>1</v>
      </c>
      <c r="L739" s="2" t="s">
        <v>2478</v>
      </c>
    </row>
    <row r="740" spans="1:15" ht="15" customHeight="1" x14ac:dyDescent="0.25">
      <c r="A740" s="2">
        <v>1531403</v>
      </c>
      <c r="B740" s="2" t="s">
        <v>691</v>
      </c>
      <c r="C740" s="2" t="s">
        <v>219</v>
      </c>
      <c r="D740" s="2" t="s">
        <v>558</v>
      </c>
      <c r="E740" s="2" t="s">
        <v>2447</v>
      </c>
      <c r="F740" s="2" t="s">
        <v>295</v>
      </c>
      <c r="H740" s="2">
        <v>2</v>
      </c>
      <c r="I740" s="2">
        <v>2</v>
      </c>
      <c r="J740" s="2">
        <v>2</v>
      </c>
      <c r="L740" s="2" t="s">
        <v>2448</v>
      </c>
    </row>
    <row r="741" spans="1:15" ht="15" customHeight="1" x14ac:dyDescent="0.25">
      <c r="A741" s="2">
        <v>1531302</v>
      </c>
      <c r="B741" s="2" t="s">
        <v>691</v>
      </c>
      <c r="C741" s="2" t="s">
        <v>219</v>
      </c>
      <c r="D741" s="2" t="s">
        <v>556</v>
      </c>
      <c r="E741" s="2" t="s">
        <v>2457</v>
      </c>
      <c r="F741" s="2" t="s">
        <v>295</v>
      </c>
      <c r="H741" s="2">
        <v>3</v>
      </c>
      <c r="I741" s="2">
        <v>3</v>
      </c>
      <c r="J741" s="2">
        <v>3</v>
      </c>
      <c r="L741" s="2" t="s">
        <v>2458</v>
      </c>
      <c r="M741" s="2" t="s">
        <v>2459</v>
      </c>
      <c r="N741" s="2" t="s">
        <v>2470</v>
      </c>
    </row>
    <row r="742" spans="1:15" ht="15" customHeight="1" x14ac:dyDescent="0.25">
      <c r="A742" s="2">
        <v>1531303</v>
      </c>
      <c r="B742" s="2" t="s">
        <v>691</v>
      </c>
      <c r="C742" s="2" t="s">
        <v>219</v>
      </c>
      <c r="D742" s="2" t="s">
        <v>556</v>
      </c>
      <c r="E742" s="2" t="s">
        <v>2460</v>
      </c>
      <c r="F742" s="2" t="s">
        <v>295</v>
      </c>
      <c r="H742" s="2">
        <v>3</v>
      </c>
      <c r="I742" s="2">
        <v>1</v>
      </c>
      <c r="J742" s="2">
        <v>2</v>
      </c>
      <c r="L742" s="2" t="s">
        <v>2479</v>
      </c>
      <c r="M742" s="2" t="s">
        <v>2461</v>
      </c>
    </row>
    <row r="743" spans="1:15" ht="15" customHeight="1" x14ac:dyDescent="0.25">
      <c r="A743" s="2">
        <v>1530201</v>
      </c>
      <c r="B743" s="2" t="s">
        <v>691</v>
      </c>
      <c r="C743" s="2" t="s">
        <v>219</v>
      </c>
      <c r="D743" s="2" t="s">
        <v>554</v>
      </c>
      <c r="E743" s="2" t="s">
        <v>2465</v>
      </c>
      <c r="F743" s="2" t="s">
        <v>398</v>
      </c>
      <c r="H743" s="2">
        <v>0</v>
      </c>
      <c r="L743" s="2" t="s">
        <v>2466</v>
      </c>
    </row>
    <row r="744" spans="1:15" ht="15" customHeight="1" x14ac:dyDescent="0.25">
      <c r="A744" s="2">
        <v>1531202</v>
      </c>
      <c r="B744" s="2" t="s">
        <v>691</v>
      </c>
      <c r="C744" s="2" t="s">
        <v>219</v>
      </c>
      <c r="D744" s="2" t="s">
        <v>554</v>
      </c>
      <c r="E744" s="2" t="s">
        <v>2462</v>
      </c>
      <c r="F744" s="2" t="s">
        <v>295</v>
      </c>
      <c r="H744" s="2">
        <v>4</v>
      </c>
      <c r="I744" s="2">
        <v>4</v>
      </c>
      <c r="J744" s="2">
        <v>4</v>
      </c>
      <c r="L744" s="2" t="s">
        <v>2463</v>
      </c>
      <c r="M744" s="2" t="s">
        <v>2464</v>
      </c>
      <c r="N744" s="2" t="s">
        <v>2467</v>
      </c>
    </row>
    <row r="745" spans="1:15" ht="15" customHeight="1" x14ac:dyDescent="0.25">
      <c r="A745" s="2">
        <v>1531201</v>
      </c>
      <c r="B745" s="2" t="s">
        <v>691</v>
      </c>
      <c r="C745" s="2" t="s">
        <v>219</v>
      </c>
      <c r="D745" s="2" t="s">
        <v>554</v>
      </c>
      <c r="E745" s="2" t="s">
        <v>2468</v>
      </c>
      <c r="F745" s="2" t="s">
        <v>297</v>
      </c>
      <c r="H745" s="2">
        <v>8</v>
      </c>
      <c r="L745" s="2" t="s">
        <v>1997</v>
      </c>
      <c r="M745" s="2" t="s">
        <v>2469</v>
      </c>
    </row>
    <row r="746" spans="1:15" ht="15" customHeight="1" x14ac:dyDescent="0.25">
      <c r="A746" s="2">
        <v>1530407</v>
      </c>
      <c r="B746" s="2" t="s">
        <v>691</v>
      </c>
      <c r="C746" s="2" t="s">
        <v>219</v>
      </c>
      <c r="D746" s="2" t="s">
        <v>558</v>
      </c>
      <c r="E746" s="2" t="s">
        <v>2452</v>
      </c>
      <c r="F746" s="2" t="s">
        <v>295</v>
      </c>
      <c r="G746" s="2" t="s">
        <v>668</v>
      </c>
      <c r="H746" s="2">
        <v>1</v>
      </c>
      <c r="I746" s="2">
        <v>2</v>
      </c>
      <c r="J746" s="2">
        <v>2</v>
      </c>
      <c r="L746" s="2" t="s">
        <v>255</v>
      </c>
      <c r="M746" s="2" t="s">
        <v>2453</v>
      </c>
    </row>
    <row r="747" spans="1:15" ht="15" customHeight="1" x14ac:dyDescent="0.25">
      <c r="A747" s="2">
        <v>1530406</v>
      </c>
      <c r="B747" s="2" t="s">
        <v>691</v>
      </c>
      <c r="C747" s="2" t="s">
        <v>219</v>
      </c>
      <c r="D747" s="2" t="s">
        <v>558</v>
      </c>
      <c r="E747" s="2" t="s">
        <v>2451</v>
      </c>
      <c r="F747" s="2" t="s">
        <v>295</v>
      </c>
      <c r="G747" s="2" t="s">
        <v>668</v>
      </c>
      <c r="H747" s="2">
        <v>1</v>
      </c>
      <c r="I747" s="2">
        <v>1</v>
      </c>
      <c r="J747" s="2">
        <v>3</v>
      </c>
      <c r="L747" s="2" t="s">
        <v>257</v>
      </c>
      <c r="M747" s="2" t="s">
        <v>2480</v>
      </c>
    </row>
    <row r="748" spans="1:15" ht="15" customHeight="1" x14ac:dyDescent="0.25">
      <c r="A748" s="2">
        <v>1530405</v>
      </c>
      <c r="B748" s="2" t="s">
        <v>691</v>
      </c>
      <c r="C748" s="2" t="s">
        <v>219</v>
      </c>
      <c r="D748" s="2" t="s">
        <v>558</v>
      </c>
      <c r="E748" s="2" t="s">
        <v>2449</v>
      </c>
      <c r="F748" s="2" t="s">
        <v>295</v>
      </c>
      <c r="G748" s="2" t="s">
        <v>668</v>
      </c>
      <c r="H748" s="2">
        <v>1</v>
      </c>
      <c r="I748" s="2">
        <v>3</v>
      </c>
      <c r="J748" s="2">
        <v>1</v>
      </c>
      <c r="L748" s="2" t="s">
        <v>249</v>
      </c>
      <c r="M748" s="2" t="s">
        <v>2450</v>
      </c>
    </row>
    <row r="749" spans="1:15" ht="15" customHeight="1" x14ac:dyDescent="0.25">
      <c r="A749" s="2">
        <v>1531101</v>
      </c>
      <c r="B749" s="2" t="s">
        <v>691</v>
      </c>
      <c r="C749" s="2" t="s">
        <v>219</v>
      </c>
      <c r="D749" s="2" t="s">
        <v>552</v>
      </c>
      <c r="E749" s="2" t="s">
        <v>2471</v>
      </c>
      <c r="F749" s="2" t="s">
        <v>299</v>
      </c>
      <c r="H749" s="2">
        <v>3</v>
      </c>
      <c r="L749" s="2" t="s">
        <v>2472</v>
      </c>
      <c r="M749" s="2" t="s">
        <v>2474</v>
      </c>
    </row>
    <row r="750" spans="1:15" ht="15" customHeight="1" x14ac:dyDescent="0.25">
      <c r="A750" s="2">
        <v>1530101</v>
      </c>
      <c r="B750" s="2" t="s">
        <v>691</v>
      </c>
      <c r="C750" s="2" t="s">
        <v>219</v>
      </c>
      <c r="D750" s="2" t="s">
        <v>552</v>
      </c>
      <c r="E750" s="2" t="s">
        <v>2473</v>
      </c>
      <c r="F750" s="2" t="s">
        <v>295</v>
      </c>
      <c r="H750" s="2">
        <v>3</v>
      </c>
      <c r="I750" s="2">
        <v>6</v>
      </c>
      <c r="J750" s="2">
        <v>6</v>
      </c>
      <c r="L750" s="2" t="s">
        <v>249</v>
      </c>
      <c r="M750" s="2" t="s">
        <v>257</v>
      </c>
      <c r="N750" s="2" t="s">
        <v>255</v>
      </c>
      <c r="O750" s="2" t="s">
        <v>2475</v>
      </c>
    </row>
    <row r="751" spans="1:15" ht="15" customHeight="1" x14ac:dyDescent="0.25">
      <c r="A751" s="2">
        <v>1531304</v>
      </c>
      <c r="B751" s="2" t="s">
        <v>691</v>
      </c>
      <c r="C751" s="2" t="s">
        <v>219</v>
      </c>
      <c r="D751" s="2" t="s">
        <v>556</v>
      </c>
      <c r="E751" s="2" t="s">
        <v>2454</v>
      </c>
      <c r="F751" s="2" t="s">
        <v>295</v>
      </c>
      <c r="H751" s="2">
        <v>3</v>
      </c>
      <c r="I751" s="2">
        <v>2</v>
      </c>
      <c r="J751" s="2">
        <v>1</v>
      </c>
      <c r="L751" s="2" t="s">
        <v>2455</v>
      </c>
      <c r="M751" s="2" t="s">
        <v>2456</v>
      </c>
      <c r="N751" s="2" t="s">
        <v>2476</v>
      </c>
    </row>
    <row r="752" spans="1:15" ht="15" customHeight="1" x14ac:dyDescent="0.25">
      <c r="A752" s="2">
        <v>1531404</v>
      </c>
      <c r="B752" s="2" t="s">
        <v>691</v>
      </c>
      <c r="C752" s="2" t="s">
        <v>219</v>
      </c>
      <c r="D752" s="2" t="s">
        <v>558</v>
      </c>
      <c r="E752" s="2" t="s">
        <v>2477</v>
      </c>
      <c r="F752" s="2" t="s">
        <v>295</v>
      </c>
      <c r="H752" s="2">
        <v>5</v>
      </c>
      <c r="I752" s="2">
        <v>4</v>
      </c>
      <c r="J752" s="2">
        <v>4</v>
      </c>
      <c r="L752" s="2" t="s">
        <v>2446</v>
      </c>
    </row>
    <row r="753" spans="1:17" ht="15" customHeight="1" x14ac:dyDescent="0.25">
      <c r="A753" s="2">
        <v>1530404</v>
      </c>
      <c r="B753" s="2" t="s">
        <v>691</v>
      </c>
      <c r="C753" s="2" t="s">
        <v>219</v>
      </c>
      <c r="D753" s="2" t="s">
        <v>558</v>
      </c>
      <c r="E753" s="2" t="s">
        <v>2445</v>
      </c>
      <c r="F753" s="2" t="s">
        <v>295</v>
      </c>
      <c r="H753" s="2">
        <v>5</v>
      </c>
      <c r="I753" s="2">
        <v>4</v>
      </c>
      <c r="J753" s="2">
        <v>4</v>
      </c>
    </row>
    <row r="754" spans="1:17" ht="15" customHeight="1" x14ac:dyDescent="0.25">
      <c r="A754" s="2">
        <v>1530408</v>
      </c>
      <c r="B754" s="2" t="s">
        <v>691</v>
      </c>
      <c r="C754" s="2" t="s">
        <v>219</v>
      </c>
      <c r="D754" s="2" t="s">
        <v>558</v>
      </c>
      <c r="E754" s="2" t="s">
        <v>2442</v>
      </c>
      <c r="F754" s="2" t="s">
        <v>299</v>
      </c>
      <c r="G754" s="2" t="s">
        <v>401</v>
      </c>
      <c r="H754" s="2">
        <v>1</v>
      </c>
      <c r="L754" s="2" t="s">
        <v>2443</v>
      </c>
    </row>
    <row r="755" spans="1:17" ht="15" customHeight="1" x14ac:dyDescent="0.25">
      <c r="A755" s="2">
        <v>1551101</v>
      </c>
      <c r="B755" s="2" t="s">
        <v>691</v>
      </c>
      <c r="C755" s="2" t="s">
        <v>222</v>
      </c>
      <c r="D755" s="2" t="s">
        <v>552</v>
      </c>
      <c r="E755" s="2" t="s">
        <v>2266</v>
      </c>
      <c r="F755" s="2" t="s">
        <v>295</v>
      </c>
      <c r="H755" s="2">
        <v>7</v>
      </c>
      <c r="I755" s="2">
        <v>4</v>
      </c>
      <c r="J755" s="2">
        <v>4</v>
      </c>
      <c r="L755" s="2" t="s">
        <v>2646</v>
      </c>
      <c r="M755" s="2" t="s">
        <v>2647</v>
      </c>
      <c r="N755" s="2" t="s">
        <v>2648</v>
      </c>
      <c r="O755" s="2" t="s">
        <v>2649</v>
      </c>
      <c r="P755" s="2" t="s">
        <v>2267</v>
      </c>
      <c r="Q755" s="2" t="s">
        <v>2293</v>
      </c>
    </row>
    <row r="756" spans="1:17" ht="15" customHeight="1" x14ac:dyDescent="0.25">
      <c r="A756" s="2">
        <v>1550103</v>
      </c>
      <c r="B756" s="2" t="s">
        <v>691</v>
      </c>
      <c r="C756" s="2" t="s">
        <v>222</v>
      </c>
      <c r="D756" s="2" t="s">
        <v>552</v>
      </c>
      <c r="E756" s="2" t="s">
        <v>2500</v>
      </c>
      <c r="F756" s="2" t="s">
        <v>398</v>
      </c>
      <c r="H756" s="2">
        <v>0</v>
      </c>
      <c r="K756" s="2">
        <v>1</v>
      </c>
      <c r="L756" s="2" t="s">
        <v>2501</v>
      </c>
    </row>
    <row r="757" spans="1:17" ht="15" customHeight="1" x14ac:dyDescent="0.25">
      <c r="A757" s="2">
        <v>1550104</v>
      </c>
      <c r="B757" s="2" t="s">
        <v>691</v>
      </c>
      <c r="C757" s="2" t="s">
        <v>222</v>
      </c>
      <c r="D757" s="2" t="s">
        <v>552</v>
      </c>
      <c r="E757" s="2" t="s">
        <v>2222</v>
      </c>
      <c r="F757" s="2" t="s">
        <v>297</v>
      </c>
      <c r="H757" s="2">
        <v>1</v>
      </c>
      <c r="L757" s="2" t="s">
        <v>2503</v>
      </c>
    </row>
    <row r="758" spans="1:17" ht="15" customHeight="1" x14ac:dyDescent="0.25">
      <c r="A758" s="2">
        <v>1521201</v>
      </c>
      <c r="B758" s="2" t="s">
        <v>691</v>
      </c>
      <c r="C758" s="2" t="s">
        <v>218</v>
      </c>
      <c r="D758" s="2" t="s">
        <v>554</v>
      </c>
      <c r="E758" s="2" t="s">
        <v>2127</v>
      </c>
      <c r="F758" s="2" t="s">
        <v>295</v>
      </c>
      <c r="H758" s="2">
        <v>7</v>
      </c>
      <c r="I758" s="2">
        <v>4</v>
      </c>
      <c r="J758" s="2">
        <v>4</v>
      </c>
      <c r="L758" s="2" t="s">
        <v>2128</v>
      </c>
      <c r="M758" s="2" t="s">
        <v>2749</v>
      </c>
      <c r="N758" s="2" t="s">
        <v>2750</v>
      </c>
    </row>
    <row r="759" spans="1:17" ht="15" customHeight="1" x14ac:dyDescent="0.25">
      <c r="A759" s="2">
        <v>1521306</v>
      </c>
      <c r="B759" s="2" t="s">
        <v>691</v>
      </c>
      <c r="C759" s="2" t="s">
        <v>218</v>
      </c>
      <c r="D759" s="2" t="s">
        <v>556</v>
      </c>
      <c r="E759" s="2" t="s">
        <v>2113</v>
      </c>
      <c r="F759" s="2" t="s">
        <v>295</v>
      </c>
      <c r="H759" s="2">
        <v>4</v>
      </c>
      <c r="I759" s="2">
        <v>3</v>
      </c>
      <c r="J759" s="2">
        <v>1</v>
      </c>
      <c r="L759" s="2" t="s">
        <v>2752</v>
      </c>
      <c r="M759" s="2" t="s">
        <v>249</v>
      </c>
      <c r="N759" s="2" t="s">
        <v>2753</v>
      </c>
    </row>
    <row r="760" spans="1:17" ht="15" customHeight="1" x14ac:dyDescent="0.25">
      <c r="A760" s="2">
        <v>1521302</v>
      </c>
      <c r="B760" s="2" t="s">
        <v>691</v>
      </c>
      <c r="C760" s="2" t="s">
        <v>218</v>
      </c>
      <c r="D760" s="2" t="s">
        <v>556</v>
      </c>
      <c r="E760" s="2" t="s">
        <v>2106</v>
      </c>
      <c r="F760" s="2" t="s">
        <v>299</v>
      </c>
      <c r="H760" s="2">
        <v>2</v>
      </c>
      <c r="L760" s="2" t="s">
        <v>2760</v>
      </c>
      <c r="M760" s="2" t="s">
        <v>693</v>
      </c>
      <c r="N760" s="2" t="s">
        <v>2107</v>
      </c>
    </row>
    <row r="761" spans="1:17" ht="15" customHeight="1" x14ac:dyDescent="0.25">
      <c r="A761" s="2">
        <v>1521104</v>
      </c>
      <c r="B761" s="2" t="s">
        <v>691</v>
      </c>
      <c r="C761" s="2" t="s">
        <v>218</v>
      </c>
      <c r="D761" s="2" t="s">
        <v>552</v>
      </c>
      <c r="E761" s="2" t="s">
        <v>2117</v>
      </c>
      <c r="F761" s="2" t="s">
        <v>295</v>
      </c>
      <c r="H761" s="2">
        <v>5</v>
      </c>
      <c r="I761" s="2">
        <v>3</v>
      </c>
      <c r="J761" s="2">
        <v>3</v>
      </c>
      <c r="L761" s="2" t="s">
        <v>2768</v>
      </c>
      <c r="M761" s="2" t="s">
        <v>2121</v>
      </c>
    </row>
  </sheetData>
  <sortState ref="A2:T425">
    <sortCondition ref="A1"/>
  </sortState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更新日志</vt:lpstr>
      <vt:lpstr>对局日志</vt:lpstr>
      <vt:lpstr>Deck</vt:lpstr>
      <vt:lpstr>Data</vt:lpstr>
      <vt:lpstr>Dictionary</vt:lpstr>
      <vt:lpstr>SetDeck</vt:lpstr>
      <vt:lpstr>ID</vt:lpstr>
      <vt:lpstr>Effect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鲨咕咕</cp:lastModifiedBy>
  <dcterms:created xsi:type="dcterms:W3CDTF">2025-09-21T03:06:00Z</dcterms:created>
  <dcterms:modified xsi:type="dcterms:W3CDTF">2025-11-19T12:22:21Z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2052-12.1.0.23125</vt:lpwstr>
  </property>
  <property fmtid="{D5CDD505-2E9C-101B-9397-08002B2CF9AE}" pid="3" name="ICV">
    <vt:lpwstr>10E721315D864CDCB40A73F0ACB88809_13</vt:lpwstr>
  </property>
</Properties>
</file>